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Universe" sheetId="2" state="visible" r:id="rId4"/>
    <sheet name="Archetypes" sheetId="3" state="visible" r:id="rId5"/>
    <sheet name="Excluded" sheetId="4" state="visible" r:id="rId6"/>
    <sheet name="Method" sheetId="5" state="visible" r:id="rId7"/>
  </sheets>
  <definedNames>
    <definedName function="false" hidden="true" localSheetId="1" name="_xlnm._FilterDatabase" vbProcedure="false">Universe!$A$4:$N$241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<sst xmlns="http://schemas.openxmlformats.org/spreadsheetml/2006/main" count="1647" uniqueCount="677">
  <si>
    <t xml:space="preserve">Universe summary</t>
  </si>
  <si>
    <t xml:space="preserve">All counts are live formulas on the Universe tab - update coverage there and these refresh.</t>
  </si>
  <si>
    <t xml:space="preserve">Total names</t>
  </si>
  <si>
    <t xml:space="preserve">Coverage verified as zero</t>
  </si>
  <si>
    <t xml:space="preserve">Coverage still unverified</t>
  </si>
  <si>
    <t xml:space="preserve">Tradable names (&gt;= $50M)</t>
  </si>
  <si>
    <t xml:space="preserve">Combined market cap ($M)</t>
  </si>
  <si>
    <t xml:space="preserve">By archetype</t>
  </si>
  <si>
    <t xml:space="preserve">Archetype</t>
  </si>
  <si>
    <t xml:space="preserve">Names</t>
  </si>
  <si>
    <t xml:space="preserve">Mkt cap ($M)</t>
  </si>
  <si>
    <t xml:space="preserve">Avg priority</t>
  </si>
  <si>
    <t xml:space="preserve">Community bank</t>
  </si>
  <si>
    <t xml:space="preserve">Regulated utility</t>
  </si>
  <si>
    <t xml:space="preserve">Energy project developer</t>
  </si>
  <si>
    <t xml:space="preserve">Land / entitlement developer</t>
  </si>
  <si>
    <t xml:space="preserve">Property owner (commercial)</t>
  </si>
  <si>
    <t xml:space="preserve">Apartment owner</t>
  </si>
  <si>
    <t xml:space="preserve">RE transaction platform</t>
  </si>
  <si>
    <t xml:space="preserve">Hotel owner</t>
  </si>
  <si>
    <t xml:space="preserve">Farmland / water rights</t>
  </si>
  <si>
    <t xml:space="preserve">Regional gaming / racing</t>
  </si>
  <si>
    <t xml:space="preserve">Oil &amp; gas producer / royalty</t>
  </si>
  <si>
    <t xml:space="preserve">Midstream / energy infrastructure</t>
  </si>
  <si>
    <t xml:space="preserve">Mine developer / producer</t>
  </si>
  <si>
    <t xml:space="preserve">Public-works contractor</t>
  </si>
  <si>
    <t xml:space="preserve">Waste / environmental services</t>
  </si>
  <si>
    <t xml:space="preserve">Broadband / local media infrastructure</t>
  </si>
  <si>
    <t xml:space="preserve">State-regulated P&amp;C insurer</t>
  </si>
  <si>
    <t xml:space="preserve">Healthcare facility operator</t>
  </si>
  <si>
    <t xml:space="preserve">Government-funded services</t>
  </si>
  <si>
    <t xml:space="preserve">Total</t>
  </si>
  <si>
    <t xml:space="preserve">Microcap local-government universe - 237 US-listed names under $500M</t>
  </si>
  <si>
    <t xml:space="preserve">Built from StockAnalysis.com industry lists (Oct 16, 2026), filtered to market cap &lt; $500M and to companies where a local/state government decision or a public dataset plausibly drives fundamentals. Foreign-operating, shell and pure consumer/tech names removed. Sorted by Priority (highest first). Use the filters in row 4.</t>
  </si>
  <si>
    <t xml:space="preserve">Ticker</t>
  </si>
  <si>
    <t xml:space="preserve">Company</t>
  </si>
  <si>
    <t xml:space="preserve">Local-gov driver</t>
  </si>
  <si>
    <t xml:space="preserve">Public data to ingest</t>
  </si>
  <si>
    <t xml:space="preserve">Note</t>
  </si>
  <si>
    <t xml:space="preserve">Analyst coverage</t>
  </si>
  <si>
    <t xml:space="preserve">Local-gov intensity (1-3)</t>
  </si>
  <si>
    <t xml:space="preserve">Data edge (1-3)</t>
  </si>
  <si>
    <t xml:space="preserve">Tradable (&gt;= $50M)</t>
  </si>
  <si>
    <t xml:space="preserve">Coverage pts</t>
  </si>
  <si>
    <t xml:space="preserve">Priority</t>
  </si>
  <si>
    <t xml:space="preserve">Size band</t>
  </si>
  <si>
    <t xml:space="preserve">TRC</t>
  </si>
  <si>
    <t xml:space="preserve">Tejon Ranch</t>
  </si>
  <si>
    <t xml:space="preserve">Value unlocked by entitlements, zoning, plats and permits on specific parcels</t>
  </si>
  <si>
    <t xml:space="preserve">Planning commission &amp; council agendas; plat approvals; Census BPS; county deed and assessor records</t>
  </si>
  <si>
    <t xml:space="preserve">Kern/LA County entitlements; CEQA litigation; water</t>
  </si>
  <si>
    <t xml:space="preserve">0 (checked)</t>
  </si>
  <si>
    <t xml:space="preserve">MLP</t>
  </si>
  <si>
    <t xml:space="preserve">Maui Land &amp; Pineapple</t>
  </si>
  <si>
    <t xml:space="preserve">Maui County &amp; state water decisions; water-asset strategic review</t>
  </si>
  <si>
    <t xml:space="preserve">CPHC</t>
  </si>
  <si>
    <t xml:space="preserve">Canterbury Park</t>
  </si>
  <si>
    <t xml:space="preserve">State gaming &amp; racing commissions license and tax; local approvals for expansions</t>
  </si>
  <si>
    <t xml:space="preserve">Monthly state gaming-revenue reports by property; racing commission minutes; city development agendas</t>
  </si>
  <si>
    <t xml:space="preserve">Shakopee TIF; MN Racing Commission; sports-betting bills</t>
  </si>
  <si>
    <t xml:space="preserve">SDHC</t>
  </si>
  <si>
    <t xml:space="preserve">Smith Douglas Homes</t>
  </si>
  <si>
    <t xml:space="preserve">Southeast homebuilder - lot approvals &amp; permits</t>
  </si>
  <si>
    <t xml:space="preserve">Unverified</t>
  </si>
  <si>
    <t xml:space="preserve">AII</t>
  </si>
  <si>
    <t xml:space="preserve">American Integrity Insurance</t>
  </si>
  <si>
    <t xml:space="preserve">State insurance departments approve rates; catastrophe reforms in specific states</t>
  </si>
  <si>
    <t xml:space="preserve">SERFF rate filings; state insurance dept market-share and complaint data</t>
  </si>
  <si>
    <t xml:space="preserve">Florida OIR</t>
  </si>
  <si>
    <t xml:space="preserve">NXRT</t>
  </si>
  <si>
    <t xml:space="preserve">NexPoint Residential Trust</t>
  </si>
  <si>
    <t xml:space="preserve">Rents shaped by local rent rules and new-supply permits in specific metros</t>
  </si>
  <si>
    <t xml:space="preserve">Local rent boards (e.g., NYC Rent Guidelines Board); multifamily permits; eviction filings; property-tax assessments</t>
  </si>
  <si>
    <t xml:space="preserve">BBCP</t>
  </si>
  <si>
    <t xml:space="preserve">Concrete Pumping</t>
  </si>
  <si>
    <t xml:space="preserve">Revenue won through state DOT, municipal and utility contract lettings</t>
  </si>
  <si>
    <t xml:space="preserve">State DOT bid lettings &amp; awards; municipal procurement portals; utility capex filings</t>
  </si>
  <si>
    <t xml:space="preserve">TCI</t>
  </si>
  <si>
    <t xml:space="preserve">Transcontinental Realty Investors</t>
  </si>
  <si>
    <t xml:space="preserve">Texas land &amp; apartments</t>
  </si>
  <si>
    <t xml:space="preserve">ACIC</t>
  </si>
  <si>
    <t xml:space="preserve">American Coastal Insurance</t>
  </si>
  <si>
    <t xml:space="preserve">CYH</t>
  </si>
  <si>
    <t xml:space="preserve">Community Health Systems</t>
  </si>
  <si>
    <t xml:space="preserve">State certificate-of-need, Medicaid rates and supplemental payments</t>
  </si>
  <si>
    <t xml:space="preserve">State CON dockets; Medicaid fee schedules; CMS hospital cost reports</t>
  </si>
  <si>
    <t xml:space="preserve">State CON &amp; Medicaid supplemental payments</t>
  </si>
  <si>
    <t xml:space="preserve">GBLI</t>
  </si>
  <si>
    <t xml:space="preserve">Global Indemnity</t>
  </si>
  <si>
    <t xml:space="preserve">BSRT</t>
  </si>
  <si>
    <t xml:space="preserve">BSR REIT</t>
  </si>
  <si>
    <t xml:space="preserve">Sunbelt apartments</t>
  </si>
  <si>
    <t xml:space="preserve">ORN</t>
  </si>
  <si>
    <t xml:space="preserve">Orion Group Holdings</t>
  </si>
  <si>
    <t xml:space="preserve">Marine/port public works</t>
  </si>
  <si>
    <t xml:space="preserve">FIP</t>
  </si>
  <si>
    <t xml:space="preserve">FTAI Infrastructure</t>
  </si>
  <si>
    <t xml:space="preserve">Port/terminal and power assets - local and state permits</t>
  </si>
  <si>
    <t xml:space="preserve">NODK</t>
  </si>
  <si>
    <t xml:space="preserve">NI Holdings</t>
  </si>
  <si>
    <t xml:space="preserve">North Dakota</t>
  </si>
  <si>
    <t xml:space="preserve">ARL</t>
  </si>
  <si>
    <t xml:space="preserve">American Realty Investors</t>
  </si>
  <si>
    <t xml:space="preserve">Parent of TCI</t>
  </si>
  <si>
    <t xml:space="preserve">MTRX</t>
  </si>
  <si>
    <t xml:space="preserve">Matrix Service</t>
  </si>
  <si>
    <t xml:space="preserve">PCYO</t>
  </si>
  <si>
    <t xml:space="preserve">Pure Cycle</t>
  </si>
  <si>
    <t xml:space="preserve">State commission sets rates; customer additions come from local development approvals</t>
  </si>
  <si>
    <t xml:space="preserve">State PUC/SCC rate dockets; county subdivision approvals; Census Building Permits Survey</t>
  </si>
  <si>
    <t xml:space="preserve">Sky Ranch plats/permits; activist proxy contest (Aug 2026)</t>
  </si>
  <si>
    <t xml:space="preserve">BRT</t>
  </si>
  <si>
    <t xml:space="preserve">BRT Apartments</t>
  </si>
  <si>
    <t xml:space="preserve">KINS</t>
  </si>
  <si>
    <t xml:space="preserve">Kingstone Companies</t>
  </si>
  <si>
    <t xml:space="preserve">New York DFS</t>
  </si>
  <si>
    <t xml:space="preserve">AIV</t>
  </si>
  <si>
    <t xml:space="preserve">Aimco</t>
  </si>
  <si>
    <t xml:space="preserve">LMNR</t>
  </si>
  <si>
    <t xml:space="preserve">Limoneira</t>
  </si>
  <si>
    <t xml:space="preserve">Santa Paula, CA housing development &amp; water</t>
  </si>
  <si>
    <t xml:space="preserve">CHCI</t>
  </si>
  <si>
    <t xml:space="preserve">Comstock Holding</t>
  </si>
  <si>
    <t xml:space="preserve">Reston/Loudoun, VA transit-oriented development</t>
  </si>
  <si>
    <t xml:space="preserve">NEN</t>
  </si>
  <si>
    <t xml:space="preserve">New England Realty Associates</t>
  </si>
  <si>
    <t xml:space="preserve">Boston-area apartments - rent policy</t>
  </si>
  <si>
    <t xml:space="preserve">ESOA</t>
  </si>
  <si>
    <t xml:space="preserve">Energy Services of America</t>
  </si>
  <si>
    <t xml:space="preserve">Utility &amp; broadband contractor - WV/Appalachia</t>
  </si>
  <si>
    <t xml:space="preserve">ELME</t>
  </si>
  <si>
    <t xml:space="preserve">Elme Communities</t>
  </si>
  <si>
    <t xml:space="preserve">DC-area apartments</t>
  </si>
  <si>
    <t xml:space="preserve">OZ</t>
  </si>
  <si>
    <t xml:space="preserve">Belpointe PREP</t>
  </si>
  <si>
    <t xml:space="preserve">Opportunity-zone developments; local approvals</t>
  </si>
  <si>
    <t xml:space="preserve">CLPR</t>
  </si>
  <si>
    <t xml:space="preserve">Clipper Realty</t>
  </si>
  <si>
    <t xml:space="preserve">NYC rent-stabilized units - Rent Guidelines Board votes</t>
  </si>
  <si>
    <t xml:space="preserve">SMID</t>
  </si>
  <si>
    <t xml:space="preserve">Smith-Midland</t>
  </si>
  <si>
    <t xml:space="preserve">State DOT precast/barrier demand</t>
  </si>
  <si>
    <t xml:space="preserve">BHM</t>
  </si>
  <si>
    <t xml:space="preserve">Bluerock Homes Trust</t>
  </si>
  <si>
    <t xml:space="preserve">STHO</t>
  </si>
  <si>
    <t xml:space="preserve">Star Holdings</t>
  </si>
  <si>
    <t xml:space="preserve">Asbury Park, NJ waterfront redevelopment</t>
  </si>
  <si>
    <t xml:space="preserve">SHIM</t>
  </si>
  <si>
    <t xml:space="preserve">Shimmick</t>
  </si>
  <si>
    <t xml:space="preserve">Water &amp; public infrastructure</t>
  </si>
  <si>
    <t xml:space="preserve">SRG</t>
  </si>
  <si>
    <t xml:space="preserve">Seritage Growth Properties</t>
  </si>
  <si>
    <t xml:space="preserve">Liquidating former Sears sites - local entitlements drive sale values</t>
  </si>
  <si>
    <t xml:space="preserve">INTG</t>
  </si>
  <si>
    <t xml:space="preserve">InterGroup</t>
  </si>
  <si>
    <t xml:space="preserve">Local hotel demand, convention calendars, city policy</t>
  </si>
  <si>
    <t xml:space="preserve">City hotel/occupancy-tax reports; convention-center calendars; local permits</t>
  </si>
  <si>
    <t xml:space="preserve">Hilton SF Financial District - SF hotel tax, conventions</t>
  </si>
  <si>
    <t xml:space="preserve">BLNK</t>
  </si>
  <si>
    <t xml:space="preserve">Blink Charging</t>
  </si>
  <si>
    <t xml:space="preserve">Municipal EV charging contracts</t>
  </si>
  <si>
    <t xml:space="preserve">FLL</t>
  </si>
  <si>
    <t xml:space="preserve">Full House Resorts</t>
  </si>
  <si>
    <t xml:space="preserve">Illinois &amp; Colorado gaming boards - monthly property revenue</t>
  </si>
  <si>
    <t xml:space="preserve">GYRO</t>
  </si>
  <si>
    <t xml:space="preserve">Gyrodyne</t>
  </si>
  <si>
    <t xml:space="preserve">Liquidating; Smithtown &amp; Cortlandt, NY approvals</t>
  </si>
  <si>
    <t xml:space="preserve">AXR</t>
  </si>
  <si>
    <t xml:space="preserve">AMREP Corp</t>
  </si>
  <si>
    <t xml:space="preserve">Rio Rancho, NM plats and permits; 1 analyst (Freedom Broker)</t>
  </si>
  <si>
    <t xml:space="preserve">1 (checked)</t>
  </si>
  <si>
    <t xml:space="preserve">WTBA</t>
  </si>
  <si>
    <t xml:space="preserve">West Bancorporation</t>
  </si>
  <si>
    <t xml:space="preserve">Loan growth, deposits and credit tied to one local economy and its real estate</t>
  </si>
  <si>
    <t xml:space="preserve">FFIEC call reports (quarterly, bank-level); FDIC Summary of Deposits (county share); HMDA mortgage data; county permits &amp; deed records</t>
  </si>
  <si>
    <t xml:space="preserve">PDLB</t>
  </si>
  <si>
    <t xml:space="preserve">Ponce Financial Group</t>
  </si>
  <si>
    <t xml:space="preserve">FMAO</t>
  </si>
  <si>
    <t xml:space="preserve">Farmers &amp; Merchants Bancorp</t>
  </si>
  <si>
    <t xml:space="preserve">CZNC</t>
  </si>
  <si>
    <t xml:space="preserve">Citizens &amp; Northern</t>
  </si>
  <si>
    <t xml:space="preserve">CBK</t>
  </si>
  <si>
    <t xml:space="preserve">Commercial Bancgroup</t>
  </si>
  <si>
    <t xml:space="preserve">CBAN</t>
  </si>
  <si>
    <t xml:space="preserve">Colony Bankcorp</t>
  </si>
  <si>
    <t xml:space="preserve">CWCO</t>
  </si>
  <si>
    <t xml:space="preserve">Consolidated Water</t>
  </si>
  <si>
    <t xml:space="preserve">Cayman/Bahamas government water licenses - non-US operations</t>
  </si>
  <si>
    <t xml:space="preserve">RBB</t>
  </si>
  <si>
    <t xml:space="preserve">RBB Bancorp</t>
  </si>
  <si>
    <t xml:space="preserve">FRBA</t>
  </si>
  <si>
    <t xml:space="preserve">First Bank</t>
  </si>
  <si>
    <t xml:space="preserve">GNE</t>
  </si>
  <si>
    <t xml:space="preserve">Genie Energy</t>
  </si>
  <si>
    <t xml:space="preserve">Retail energy - state PUC retail-choice rules</t>
  </si>
  <si>
    <t xml:space="preserve">BMRC</t>
  </si>
  <si>
    <t xml:space="preserve">Bank of Marin Bancorp</t>
  </si>
  <si>
    <t xml:space="preserve">PBFS</t>
  </si>
  <si>
    <t xml:space="preserve">Pioneer Bancorp</t>
  </si>
  <si>
    <t xml:space="preserve">PLBC</t>
  </si>
  <si>
    <t xml:space="preserve">Plumas Bancorp</t>
  </si>
  <si>
    <t xml:space="preserve">ATNI</t>
  </si>
  <si>
    <t xml:space="preserve">ATN International</t>
  </si>
  <si>
    <t xml:space="preserve">Municipal franchises, state BEAD broadband grants, local permits</t>
  </si>
  <si>
    <t xml:space="preserve">State broadband office BEAD award lists; FCC broadband maps; municipal franchise agendas</t>
  </si>
  <si>
    <t xml:space="preserve">Rural broadband grants; US Virgin Islands</t>
  </si>
  <si>
    <t xml:space="preserve">USCB</t>
  </si>
  <si>
    <t xml:space="preserve">USCB Financial Holdings</t>
  </si>
  <si>
    <t xml:space="preserve">ISTR</t>
  </si>
  <si>
    <t xml:space="preserve">Investar Holding</t>
  </si>
  <si>
    <t xml:space="preserve">CHMG</t>
  </si>
  <si>
    <t xml:space="preserve">Chemung Financial</t>
  </si>
  <si>
    <t xml:space="preserve">OPAL</t>
  </si>
  <si>
    <t xml:space="preserve">OPAL Fuels</t>
  </si>
  <si>
    <t xml:space="preserve">County zoning/siting votes and state incentive programs decide whether projects get built</t>
  </si>
  <si>
    <t xml:space="preserve">County zoning agendas (siting moratoriums); state program dockets (community solar, LCFS); interconnection queues</t>
  </si>
  <si>
    <t xml:space="preserve">Landfill-gas RNG; state LCFS programs and landfill host agreements</t>
  </si>
  <si>
    <t xml:space="preserve">PKBK</t>
  </si>
  <si>
    <t xml:space="preserve">Parke Bancorp</t>
  </si>
  <si>
    <t xml:space="preserve">MVBF</t>
  </si>
  <si>
    <t xml:space="preserve">MVB Financial</t>
  </si>
  <si>
    <t xml:space="preserve">AVBC</t>
  </si>
  <si>
    <t xml:space="preserve">Avidia Bancorp</t>
  </si>
  <si>
    <t xml:space="preserve">URG</t>
  </si>
  <si>
    <t xml:space="preserve">Ur-Energy</t>
  </si>
  <si>
    <t xml:space="preserve">State mine, water and air permits plus county approvals gate the project</t>
  </si>
  <si>
    <t xml:space="preserve">State environmental agency permit dockets; county commission agendas; state mining reports</t>
  </si>
  <si>
    <t xml:space="preserve">Wyoming state permits</t>
  </si>
  <si>
    <t xml:space="preserve">OPTU</t>
  </si>
  <si>
    <t xml:space="preserve">Optimum Communications</t>
  </si>
  <si>
    <t xml:space="preserve">Municipal franchises - verify cap/structure</t>
  </si>
  <si>
    <t xml:space="preserve">CZFS</t>
  </si>
  <si>
    <t xml:space="preserve">Citizens Financial Services</t>
  </si>
  <si>
    <t xml:space="preserve">BOC</t>
  </si>
  <si>
    <t xml:space="preserve">Boston Omaha</t>
  </si>
  <si>
    <t xml:space="preserve">Billboard permits &amp; municipal broadband</t>
  </si>
  <si>
    <t xml:space="preserve">FRST</t>
  </si>
  <si>
    <t xml:space="preserve">Primis Financial</t>
  </si>
  <si>
    <t xml:space="preserve">FCBM</t>
  </si>
  <si>
    <t xml:space="preserve">First Carolina Financial Services</t>
  </si>
  <si>
    <t xml:space="preserve">FNLC</t>
  </si>
  <si>
    <t xml:space="preserve">The First Bancorp</t>
  </si>
  <si>
    <t xml:space="preserve">PCB</t>
  </si>
  <si>
    <t xml:space="preserve">PCB Bancorp</t>
  </si>
  <si>
    <t xml:space="preserve">FRPH</t>
  </si>
  <si>
    <t xml:space="preserve">FRP Holdings</t>
  </si>
  <si>
    <t xml:space="preserve">Asset values and leasing in a handful of metros; zoning and property-tax decisions</t>
  </si>
  <si>
    <t xml:space="preserve">County assessor/recorder data; local building permits; zoning/rezoning agendas</t>
  </si>
  <si>
    <t xml:space="preserve">DC/Maryland real estate + FL/GA/VA mining royalties (DOT lettings)</t>
  </si>
  <si>
    <t xml:space="preserve">WSBF</t>
  </si>
  <si>
    <t xml:space="preserve">Waterstone Financial</t>
  </si>
  <si>
    <t xml:space="preserve">NWFL</t>
  </si>
  <si>
    <t xml:space="preserve">Norwood Financial</t>
  </si>
  <si>
    <t xml:space="preserve">BRBS</t>
  </si>
  <si>
    <t xml:space="preserve">Blue Ridge Bankshares</t>
  </si>
  <si>
    <t xml:space="preserve">TSBK</t>
  </si>
  <si>
    <t xml:space="preserve">Timberland Bancorp</t>
  </si>
  <si>
    <t xml:space="preserve">NEWT</t>
  </si>
  <si>
    <t xml:space="preserve">NewtekOne</t>
  </si>
  <si>
    <t xml:space="preserve">National fintech lender - weaker local link</t>
  </si>
  <si>
    <t xml:space="preserve">AVBH</t>
  </si>
  <si>
    <t xml:space="preserve">Avidbank Holdings</t>
  </si>
  <si>
    <t xml:space="preserve">IDR</t>
  </si>
  <si>
    <t xml:space="preserve">Idaho Strategic Resources</t>
  </si>
  <si>
    <t xml:space="preserve">Idaho</t>
  </si>
  <si>
    <t xml:space="preserve">REI</t>
  </si>
  <si>
    <t xml:space="preserve">Ring Energy</t>
  </si>
  <si>
    <t xml:space="preserve">Production, permits and spacing on specific acreage set by state regulators</t>
  </si>
  <si>
    <t xml:space="preserve">State oil &amp; gas commission well permits &amp; monthly production (Texas RRC, NM OCD, Oklahoma OCC, Louisiana SONRIS, etc.)</t>
  </si>
  <si>
    <t xml:space="preserve">NECB</t>
  </si>
  <si>
    <t xml:space="preserve">Northeast Community Bancorp</t>
  </si>
  <si>
    <t xml:space="preserve">FVCB</t>
  </si>
  <si>
    <t xml:space="preserve">FVCBankcorp</t>
  </si>
  <si>
    <t xml:space="preserve">COSO</t>
  </si>
  <si>
    <t xml:space="preserve">CoastalSouth Bancshares</t>
  </si>
  <si>
    <t xml:space="preserve">PNRG</t>
  </si>
  <si>
    <t xml:space="preserve">PrimeEnergy Resources</t>
  </si>
  <si>
    <t xml:space="preserve">BCML</t>
  </si>
  <si>
    <t xml:space="preserve">BayCom Corp</t>
  </si>
  <si>
    <t xml:space="preserve">JMSB</t>
  </si>
  <si>
    <t xml:space="preserve">John Marshall Bancorp</t>
  </si>
  <si>
    <t xml:space="preserve">FCCO</t>
  </si>
  <si>
    <t xml:space="preserve">First Community Corp</t>
  </si>
  <si>
    <t xml:space="preserve">FDBC</t>
  </si>
  <si>
    <t xml:space="preserve">Fidelity D &amp; D Bancorp</t>
  </si>
  <si>
    <t xml:space="preserve">FSBW</t>
  </si>
  <si>
    <t xml:space="preserve">FS Bancorp</t>
  </si>
  <si>
    <t xml:space="preserve">FTW</t>
  </si>
  <si>
    <t xml:space="preserve">Presidio Production Co</t>
  </si>
  <si>
    <t xml:space="preserve">CBNA</t>
  </si>
  <si>
    <t xml:space="preserve">Chain Bridge Bancorp</t>
  </si>
  <si>
    <t xml:space="preserve">CFFI</t>
  </si>
  <si>
    <t xml:space="preserve">C&amp;F Financial</t>
  </si>
  <si>
    <t xml:space="preserve">MYFW</t>
  </si>
  <si>
    <t xml:space="preserve">First Western Financial</t>
  </si>
  <si>
    <t xml:space="preserve">BPRN</t>
  </si>
  <si>
    <t xml:space="preserve">Princeton Bancorp</t>
  </si>
  <si>
    <t xml:space="preserve">ISBA</t>
  </si>
  <si>
    <t xml:space="preserve">Isabella Bank</t>
  </si>
  <si>
    <t xml:space="preserve">TII</t>
  </si>
  <si>
    <t xml:space="preserve">Titan Mining</t>
  </si>
  <si>
    <t xml:space="preserve">Upstate New York zinc/graphite</t>
  </si>
  <si>
    <t xml:space="preserve">ALCO</t>
  </si>
  <si>
    <t xml:space="preserve">Alico</t>
  </si>
  <si>
    <t xml:space="preserve">Collier County approvals; 2 analysts (Roth, Freedom) - fails strict zero screen</t>
  </si>
  <si>
    <t xml:space="preserve">2+ (checked)</t>
  </si>
  <si>
    <t xml:space="preserve">CDZI</t>
  </si>
  <si>
    <t xml:space="preserve">Cadiz</t>
  </si>
  <si>
    <t xml:space="preserve">California water project - state/county approvals</t>
  </si>
  <si>
    <t xml:space="preserve">GBFH</t>
  </si>
  <si>
    <t xml:space="preserve">GBank Financial Holdings</t>
  </si>
  <si>
    <t xml:space="preserve">OVLY</t>
  </si>
  <si>
    <t xml:space="preserve">Oak Valley Bancorp</t>
  </si>
  <si>
    <t xml:space="preserve">FUNC</t>
  </si>
  <si>
    <t xml:space="preserve">First United Corp</t>
  </si>
  <si>
    <t xml:space="preserve">ATLO</t>
  </si>
  <si>
    <t xml:space="preserve">Ames National</t>
  </si>
  <si>
    <t xml:space="preserve">FRAF</t>
  </si>
  <si>
    <t xml:space="preserve">Franklin Financial Services</t>
  </si>
  <si>
    <t xml:space="preserve">FNRN</t>
  </si>
  <si>
    <t xml:space="preserve">First Northern Community Bancorp</t>
  </si>
  <si>
    <t xml:space="preserve">QNBC</t>
  </si>
  <si>
    <t xml:space="preserve">QNB Corp</t>
  </si>
  <si>
    <t xml:space="preserve">FXNC</t>
  </si>
  <si>
    <t xml:space="preserve">First National Corp</t>
  </si>
  <si>
    <t xml:space="preserve">PESI</t>
  </si>
  <si>
    <t xml:space="preserve">Perma-Fix Environmental</t>
  </si>
  <si>
    <t xml:space="preserve">Landfill, injection-well and disposal permits; municipal contracts</t>
  </si>
  <si>
    <t xml:space="preserve">State EPA permits &amp; tonnage reports; state oil-gas injection data; municipal contracts</t>
  </si>
  <si>
    <t xml:space="preserve">DOE &amp; state waste permits</t>
  </si>
  <si>
    <t xml:space="preserve">HWBK</t>
  </si>
  <si>
    <t xml:space="preserve">Hawthorn Bancshares</t>
  </si>
  <si>
    <t xml:space="preserve">LCNB</t>
  </si>
  <si>
    <t xml:space="preserve">LCNB Corp</t>
  </si>
  <si>
    <t xml:space="preserve">SW Ohio</t>
  </si>
  <si>
    <t xml:space="preserve">WNEB</t>
  </si>
  <si>
    <t xml:space="preserve">Western New England Bancorp</t>
  </si>
  <si>
    <t xml:space="preserve">NKSH</t>
  </si>
  <si>
    <t xml:space="preserve">National Bankshares</t>
  </si>
  <si>
    <t xml:space="preserve">NC</t>
  </si>
  <si>
    <t xml:space="preserve">NACCO Industries</t>
  </si>
  <si>
    <t xml:space="preserve">Mississippi/ND mine contracts</t>
  </si>
  <si>
    <t xml:space="preserve">VABK</t>
  </si>
  <si>
    <t xml:space="preserve">Virginia National Bankshares</t>
  </si>
  <si>
    <t xml:space="preserve">INBK</t>
  </si>
  <si>
    <t xml:space="preserve">First Internet Bancorp</t>
  </si>
  <si>
    <t xml:space="preserve">Branchless national bank - weaker local link</t>
  </si>
  <si>
    <t xml:space="preserve">IONR</t>
  </si>
  <si>
    <t xml:space="preserve">ioneer</t>
  </si>
  <si>
    <t xml:space="preserve">Nevada lithium</t>
  </si>
  <si>
    <t xml:space="preserve">KGEI</t>
  </si>
  <si>
    <t xml:space="preserve">Kolibri Global Energy</t>
  </si>
  <si>
    <t xml:space="preserve">Oklahoma - OCC data</t>
  </si>
  <si>
    <t xml:space="preserve">RMBI</t>
  </si>
  <si>
    <t xml:space="preserve">Richmond Mutual Bancorporation</t>
  </si>
  <si>
    <t xml:space="preserve">EFSI</t>
  </si>
  <si>
    <t xml:space="preserve">Eagle Financial Services</t>
  </si>
  <si>
    <t xml:space="preserve">MRBK</t>
  </si>
  <si>
    <t xml:space="preserve">Meridian Corp</t>
  </si>
  <si>
    <t xml:space="preserve">PEBK</t>
  </si>
  <si>
    <t xml:space="preserve">Peoples Bancorp of North Carolina</t>
  </si>
  <si>
    <t xml:space="preserve">FBLA</t>
  </si>
  <si>
    <t xml:space="preserve">FB Bancorp</t>
  </si>
  <si>
    <t xml:space="preserve">CFBK</t>
  </si>
  <si>
    <t xml:space="preserve">CF Bankshares</t>
  </si>
  <si>
    <t xml:space="preserve">Columbus/Cleveland, Ohio</t>
  </si>
  <si>
    <t xml:space="preserve">GWRS</t>
  </si>
  <si>
    <t xml:space="preserve">Global Water Resources</t>
  </si>
  <si>
    <t xml:space="preserve">Arizona Corporation Commission; Phoenix-area growth</t>
  </si>
  <si>
    <t xml:space="preserve">OPBK</t>
  </si>
  <si>
    <t xml:space="preserve">OP Bancorp</t>
  </si>
  <si>
    <t xml:space="preserve">CMTV</t>
  </si>
  <si>
    <t xml:space="preserve">Community Bancorp</t>
  </si>
  <si>
    <t xml:space="preserve">NVA</t>
  </si>
  <si>
    <t xml:space="preserve">Nova Minerals</t>
  </si>
  <si>
    <t xml:space="preserve">Alaska</t>
  </si>
  <si>
    <t xml:space="preserve">BAFN</t>
  </si>
  <si>
    <t xml:space="preserve">BayFirst Financial</t>
  </si>
  <si>
    <t xml:space="preserve">KLC</t>
  </si>
  <si>
    <t xml:space="preserve">KinderCare Learning</t>
  </si>
  <si>
    <t xml:space="preserve">State/municipal contracts, subsidies and licensing</t>
  </si>
  <si>
    <t xml:space="preserve">Municipal contract registers (e.g., NYC Checkbook); state subsidy rate schedules; licensing boards</t>
  </si>
  <si>
    <t xml:space="preserve">State childcare subsidies &amp; licensing</t>
  </si>
  <si>
    <t xml:space="preserve">ABAT</t>
  </si>
  <si>
    <t xml:space="preserve">American Battery Technology</t>
  </si>
  <si>
    <t xml:space="preserve">Nevada recycling - state grants &amp; permits</t>
  </si>
  <si>
    <t xml:space="preserve">OVBC</t>
  </si>
  <si>
    <t xml:space="preserve">Ohio Valley Banc</t>
  </si>
  <si>
    <t xml:space="preserve">Ohio/West Virginia</t>
  </si>
  <si>
    <t xml:space="preserve">OPHC</t>
  </si>
  <si>
    <t xml:space="preserve">OptimumBank Holdings</t>
  </si>
  <si>
    <t xml:space="preserve">CZWI</t>
  </si>
  <si>
    <t xml:space="preserve">Citizens Community Bancorp</t>
  </si>
  <si>
    <t xml:space="preserve">FCAP</t>
  </si>
  <si>
    <t xml:space="preserve">First Capital Inc</t>
  </si>
  <si>
    <t xml:space="preserve">SJT</t>
  </si>
  <si>
    <t xml:space="preserve">San Juan Basin Royalty Trust</t>
  </si>
  <si>
    <t xml:space="preserve">NM OCD production -&gt; distributions</t>
  </si>
  <si>
    <t xml:space="preserve">RBKB</t>
  </si>
  <si>
    <t xml:space="preserve">Rhinebeck Bancorp</t>
  </si>
  <si>
    <t xml:space="preserve">LARK</t>
  </si>
  <si>
    <t xml:space="preserve">Landmark Bancorp</t>
  </si>
  <si>
    <t xml:space="preserve">USAU</t>
  </si>
  <si>
    <t xml:space="preserve">U.S. Gold Corp</t>
  </si>
  <si>
    <t xml:space="preserve">Wyoming CK Gold state permit</t>
  </si>
  <si>
    <t xml:space="preserve">HNVR</t>
  </si>
  <si>
    <t xml:space="preserve">Hanover Bancorp</t>
  </si>
  <si>
    <t xml:space="preserve">CBFV</t>
  </si>
  <si>
    <t xml:space="preserve">CB Financial Services</t>
  </si>
  <si>
    <t xml:space="preserve">EU</t>
  </si>
  <si>
    <t xml:space="preserve">enCore Energy</t>
  </si>
  <si>
    <t xml:space="preserve">Texas ISR uranium - TCEQ and local opposition</t>
  </si>
  <si>
    <t xml:space="preserve">FINW</t>
  </si>
  <si>
    <t xml:space="preserve">FinWise Bancorp</t>
  </si>
  <si>
    <t xml:space="preserve">Fintech partner bank - weaker local link</t>
  </si>
  <si>
    <t xml:space="preserve">FNWD</t>
  </si>
  <si>
    <t xml:space="preserve">Finward Bancorp</t>
  </si>
  <si>
    <t xml:space="preserve">AMPY</t>
  </si>
  <si>
    <t xml:space="preserve">Amplify Energy</t>
  </si>
  <si>
    <t xml:space="preserve">California offshore (Beta) - state regulators</t>
  </si>
  <si>
    <t xml:space="preserve">PED</t>
  </si>
  <si>
    <t xml:space="preserve">PEDEVCO</t>
  </si>
  <si>
    <t xml:space="preserve">SBFG</t>
  </si>
  <si>
    <t xml:space="preserve">SB Financial Group</t>
  </si>
  <si>
    <t xml:space="preserve">NW Ohio</t>
  </si>
  <si>
    <t xml:space="preserve">EPSN</t>
  </si>
  <si>
    <t xml:space="preserve">Epsilon Energy</t>
  </si>
  <si>
    <t xml:space="preserve">ECBK</t>
  </si>
  <si>
    <t xml:space="preserve">ECB Bancorp</t>
  </si>
  <si>
    <t xml:space="preserve">EBMT</t>
  </si>
  <si>
    <t xml:space="preserve">Eagle Bancorp Montana</t>
  </si>
  <si>
    <t xml:space="preserve">MNSB</t>
  </si>
  <si>
    <t xml:space="preserve">MainStreet Bancshares</t>
  </si>
  <si>
    <t xml:space="preserve">BVFL</t>
  </si>
  <si>
    <t xml:space="preserve">BV Financial</t>
  </si>
  <si>
    <t xml:space="preserve">BCBP</t>
  </si>
  <si>
    <t xml:space="preserve">BCB Bancorp</t>
  </si>
  <si>
    <t xml:space="preserve">SRBK</t>
  </si>
  <si>
    <t xml:space="preserve">SR Bancorp</t>
  </si>
  <si>
    <t xml:space="preserve">EPM</t>
  </si>
  <si>
    <t xml:space="preserve">Evolution Petroleum</t>
  </si>
  <si>
    <t xml:space="preserve">LSBK</t>
  </si>
  <si>
    <t xml:space="preserve">Lake Shore Bancorp</t>
  </si>
  <si>
    <t xml:space="preserve">FGBI</t>
  </si>
  <si>
    <t xml:space="preserve">First Guaranty Bancshares</t>
  </si>
  <si>
    <t xml:space="preserve">EP</t>
  </si>
  <si>
    <t xml:space="preserve">Empire Petroleum</t>
  </si>
  <si>
    <t xml:space="preserve">HYNE</t>
  </si>
  <si>
    <t xml:space="preserve">Hoyne Bancorp</t>
  </si>
  <si>
    <t xml:space="preserve">LGCY</t>
  </si>
  <si>
    <t xml:space="preserve">Legacy Education</t>
  </si>
  <si>
    <t xml:space="preserve">State nursing-school approvals</t>
  </si>
  <si>
    <t xml:space="preserve">MGYR</t>
  </si>
  <si>
    <t xml:space="preserve">Magyar Bancorp</t>
  </si>
  <si>
    <t xml:space="preserve">AREC</t>
  </si>
  <si>
    <t xml:space="preserve">American Resources</t>
  </si>
  <si>
    <t xml:space="preserve">Kentucky/West Virginia permits</t>
  </si>
  <si>
    <t xml:space="preserve">BOTJ</t>
  </si>
  <si>
    <t xml:space="preserve">Bank of the James Financial</t>
  </si>
  <si>
    <t xml:space="preserve">SFBC</t>
  </si>
  <si>
    <t xml:space="preserve">Sound Financial Bancorp</t>
  </si>
  <si>
    <t xml:space="preserve">BHR</t>
  </si>
  <si>
    <t xml:space="preserve">Braemar Hotels &amp; Resorts</t>
  </si>
  <si>
    <t xml:space="preserve">WSBK</t>
  </si>
  <si>
    <t xml:space="preserve">Winchester Bancorp</t>
  </si>
  <si>
    <t xml:space="preserve">PNBK</t>
  </si>
  <si>
    <t xml:space="preserve">Patriot National Bancorp</t>
  </si>
  <si>
    <t xml:space="preserve">Connecticut</t>
  </si>
  <si>
    <t xml:space="preserve">UNB</t>
  </si>
  <si>
    <t xml:space="preserve">Union Bankshares</t>
  </si>
  <si>
    <t xml:space="preserve">PROV</t>
  </si>
  <si>
    <t xml:space="preserve">Provident Financial Holdings</t>
  </si>
  <si>
    <t xml:space="preserve">BSBK</t>
  </si>
  <si>
    <t xml:space="preserve">Bogota Financial</t>
  </si>
  <si>
    <t xml:space="preserve">PBHC</t>
  </si>
  <si>
    <t xml:space="preserve">Pathfinder Bancorp</t>
  </si>
  <si>
    <t xml:space="preserve">RVSB</t>
  </si>
  <si>
    <t xml:space="preserve">Riverview Bancorp</t>
  </si>
  <si>
    <t xml:space="preserve">BYFC</t>
  </si>
  <si>
    <t xml:space="preserve">Broadway Financial</t>
  </si>
  <si>
    <t xml:space="preserve">USGO</t>
  </si>
  <si>
    <t xml:space="preserve">U.S. GoldMining</t>
  </si>
  <si>
    <t xml:space="preserve">FDSB</t>
  </si>
  <si>
    <t xml:space="preserve">Fifth District Bancorp</t>
  </si>
  <si>
    <t xml:space="preserve">FNWB</t>
  </si>
  <si>
    <t xml:space="preserve">First Northwest Bancorp</t>
  </si>
  <si>
    <t xml:space="preserve">AUBN</t>
  </si>
  <si>
    <t xml:space="preserve">Auburn National Bancorporation</t>
  </si>
  <si>
    <t xml:space="preserve">PZG</t>
  </si>
  <si>
    <t xml:space="preserve">Paramount Gold Nevada</t>
  </si>
  <si>
    <t xml:space="preserve">Oregon Grassy Mountain state permitting</t>
  </si>
  <si>
    <t xml:space="preserve">FUSB</t>
  </si>
  <si>
    <t xml:space="preserve">First US Bancshares</t>
  </si>
  <si>
    <t xml:space="preserve">UBCP</t>
  </si>
  <si>
    <t xml:space="preserve">United Bancorp</t>
  </si>
  <si>
    <t xml:space="preserve">Eastern Ohio</t>
  </si>
  <si>
    <t xml:space="preserve">CABO</t>
  </si>
  <si>
    <t xml:space="preserve">Cable One</t>
  </si>
  <si>
    <t xml:space="preserve">Municipal franchises; BEAD - verify market cap (unusually low)</t>
  </si>
  <si>
    <t xml:space="preserve">ASRV</t>
  </si>
  <si>
    <t xml:space="preserve">AmeriServ Financial</t>
  </si>
  <si>
    <t xml:space="preserve">SSBI</t>
  </si>
  <si>
    <t xml:space="preserve">Summit State Bank</t>
  </si>
  <si>
    <t xml:space="preserve">CPBI</t>
  </si>
  <si>
    <t xml:space="preserve">Central Plains Bancshares</t>
  </si>
  <si>
    <t xml:space="preserve">MAYS</t>
  </si>
  <si>
    <t xml:space="preserve">J.W. Mays</t>
  </si>
  <si>
    <t xml:space="preserve">Brooklyn &amp; Queens - NYC ACRIS, DOB, rezonings</t>
  </si>
  <si>
    <t xml:space="preserve">CRT</t>
  </si>
  <si>
    <t xml:space="preserve">Cross Timbers Royalty Trust</t>
  </si>
  <si>
    <t xml:space="preserve">FSEA</t>
  </si>
  <si>
    <t xml:space="preserve">First Seacoast Bancorp</t>
  </si>
  <si>
    <t xml:space="preserve">HFBL</t>
  </si>
  <si>
    <t xml:space="preserve">Home Federal Bancorp of Louisiana</t>
  </si>
  <si>
    <t xml:space="preserve">CLST</t>
  </si>
  <si>
    <t xml:space="preserve">Catalyst Bancorp</t>
  </si>
  <si>
    <t xml:space="preserve">WWR</t>
  </si>
  <si>
    <t xml:space="preserve">Westwater Resources</t>
  </si>
  <si>
    <t xml:space="preserve">Alabama graphite plant permits</t>
  </si>
  <si>
    <t xml:space="preserve">NSTS</t>
  </si>
  <si>
    <t xml:space="preserve">NSTS Bancorp</t>
  </si>
  <si>
    <t xml:space="preserve">AEC</t>
  </si>
  <si>
    <t xml:space="preserve">Anfield Energy</t>
  </si>
  <si>
    <t xml:space="preserve">Utah/Colorado mills &amp; mines</t>
  </si>
  <si>
    <t xml:space="preserve">BATL</t>
  </si>
  <si>
    <t xml:space="preserve">Battalion Oil</t>
  </si>
  <si>
    <t xml:space="preserve">PVL</t>
  </si>
  <si>
    <t xml:space="preserve">Permianville Royalty Trust</t>
  </si>
  <si>
    <t xml:space="preserve">VOC</t>
  </si>
  <si>
    <t xml:space="preserve">VOC Energy Trust</t>
  </si>
  <si>
    <t xml:space="preserve">SCWO</t>
  </si>
  <si>
    <t xml:space="preserve">374Water</t>
  </si>
  <si>
    <t xml:space="preserve">Municipal wastewater (PFAS/biosolids) contracts</t>
  </si>
  <si>
    <t xml:space="preserve">SLND</t>
  </si>
  <si>
    <t xml:space="preserve">Southland Holdings</t>
  </si>
  <si>
    <t xml:space="preserve">Public infrastructure bids</t>
  </si>
  <si>
    <t xml:space="preserve">CNTY</t>
  </si>
  <si>
    <t xml:space="preserve">Century Casinos</t>
  </si>
  <si>
    <t xml:space="preserve">Colorado/Missouri/Nevada monthly gaming revenue reports</t>
  </si>
  <si>
    <t xml:space="preserve">CKX</t>
  </si>
  <si>
    <t xml:space="preserve">CKX Lands</t>
  </si>
  <si>
    <t xml:space="preserve">Louisiana SONRIS; Lake Charles LNG right-of-way</t>
  </si>
  <si>
    <t xml:space="preserve">AWX</t>
  </si>
  <si>
    <t xml:space="preserve">Avalon Holdings</t>
  </si>
  <si>
    <t xml:space="preserve">Warren, OH - Ohio DNR injection well; landfill mgmt</t>
  </si>
  <si>
    <t xml:space="preserve">AMS</t>
  </si>
  <si>
    <t xml:space="preserve">American Shared Hospital Services</t>
  </si>
  <si>
    <t xml:space="preserve">ARTNA</t>
  </si>
  <si>
    <t xml:space="preserve">Artesian Resources</t>
  </si>
  <si>
    <t xml:space="preserve">Huntington initiated mid-2026; Sussex County, DE growth</t>
  </si>
  <si>
    <t xml:space="preserve">RGCO</t>
  </si>
  <si>
    <t xml:space="preserve">RGC Resources</t>
  </si>
  <si>
    <t xml:space="preserve">Huntington initiated Sep 2026; Virginia SCC</t>
  </si>
  <si>
    <t xml:space="preserve">OLP</t>
  </si>
  <si>
    <t xml:space="preserve">One Liberty Properties</t>
  </si>
  <si>
    <t xml:space="preserve">BDN</t>
  </si>
  <si>
    <t xml:space="preserve">Brandywine Realty Trust</t>
  </si>
  <si>
    <t xml:space="preserve">Philadelphia &amp; Austin office</t>
  </si>
  <si>
    <t xml:space="preserve">FPI</t>
  </si>
  <si>
    <t xml:space="preserve">Farmland Partners</t>
  </si>
  <si>
    <t xml:space="preserve">Water rights, county ag zoning and land conversion approvals</t>
  </si>
  <si>
    <t xml:space="preserve">State water-rights filings &amp; allocations; USDA land values; county records</t>
  </si>
  <si>
    <t xml:space="preserve">SMC</t>
  </si>
  <si>
    <t xml:space="preserve">Summit Midstream</t>
  </si>
  <si>
    <t xml:space="preserve">State/local permits and government supply contracts</t>
  </si>
  <si>
    <t xml:space="preserve">State permit dockets; utility/government contract awards; port authority agendas</t>
  </si>
  <si>
    <t xml:space="preserve">IPI</t>
  </si>
  <si>
    <t xml:space="preserve">Intrepid Potash</t>
  </si>
  <si>
    <t xml:space="preserve">New Mexico water rights &amp; state/federal permits</t>
  </si>
  <si>
    <t xml:space="preserve">LAND</t>
  </si>
  <si>
    <t xml:space="preserve">Gladstone Land</t>
  </si>
  <si>
    <t xml:space="preserve">California water allocations matter</t>
  </si>
  <si>
    <t xml:space="preserve">CHCT</t>
  </si>
  <si>
    <t xml:space="preserve">Community Healthcare Trust</t>
  </si>
  <si>
    <t xml:space="preserve">OPI</t>
  </si>
  <si>
    <t xml:space="preserve">Office Properties Income Trust</t>
  </si>
  <si>
    <t xml:space="preserve">PINE</t>
  </si>
  <si>
    <t xml:space="preserve">Alpine Income Property Trust</t>
  </si>
  <si>
    <t xml:space="preserve">SEG</t>
  </si>
  <si>
    <t xml:space="preserve">Seaport Entertainment Group</t>
  </si>
  <si>
    <t xml:space="preserve">NYC Seaport &amp; Las Vegas - city approvals</t>
  </si>
  <si>
    <t xml:space="preserve">SITC</t>
  </si>
  <si>
    <t xml:space="preserve">SITE Centers</t>
  </si>
  <si>
    <t xml:space="preserve">NLOP</t>
  </si>
  <si>
    <t xml:space="preserve">Net Lease Office Properties</t>
  </si>
  <si>
    <t xml:space="preserve">DOUG</t>
  </si>
  <si>
    <t xml:space="preserve">Douglas Elliman</t>
  </si>
  <si>
    <t xml:space="preserve">Revenue tracks home/commercial transaction counts in specific markets</t>
  </si>
  <si>
    <t xml:space="preserve">County deed recordings (e.g., NYC ACRIS); transfer-tax receipts; MLS-derived counts</t>
  </si>
  <si>
    <t xml:space="preserve">NYC/Florida transactions - ACRIS &amp; county recorders</t>
  </si>
  <si>
    <t xml:space="preserve">ONL</t>
  </si>
  <si>
    <t xml:space="preserve">Orion Properties</t>
  </si>
  <si>
    <t xml:space="preserve">MMLP</t>
  </si>
  <si>
    <t xml:space="preserve">Martin Midstream Partners</t>
  </si>
  <si>
    <t xml:space="preserve">NFE</t>
  </si>
  <si>
    <t xml:space="preserve">New Fortress Energy</t>
  </si>
  <si>
    <t xml:space="preserve">Puerto Rico government power contracts</t>
  </si>
  <si>
    <t xml:space="preserve">SELF</t>
  </si>
  <si>
    <t xml:space="preserve">Global Self Storage</t>
  </si>
  <si>
    <t xml:space="preserve">KFFB</t>
  </si>
  <si>
    <t xml:space="preserve">Kentucky First Federal Bancorp</t>
  </si>
  <si>
    <t xml:space="preserve">TCBS</t>
  </si>
  <si>
    <t xml:space="preserve">Texas Community Bancshares</t>
  </si>
  <si>
    <t xml:space="preserve">MBBC</t>
  </si>
  <si>
    <t xml:space="preserve">Marathon Bancorp</t>
  </si>
  <si>
    <t xml:space="preserve">PROP</t>
  </si>
  <si>
    <t xml:space="preserve">Prairie Operating</t>
  </si>
  <si>
    <t xml:space="preserve">Colorado - ECMC permits</t>
  </si>
  <si>
    <t xml:space="preserve">DCGO</t>
  </si>
  <si>
    <t xml:space="preserve">DocGo</t>
  </si>
  <si>
    <t xml:space="preserve">NYC municipal contracts</t>
  </si>
  <si>
    <t xml:space="preserve">EONR</t>
  </si>
  <si>
    <t xml:space="preserve">EON Resources</t>
  </si>
  <si>
    <t xml:space="preserve">PRT</t>
  </si>
  <si>
    <t xml:space="preserve">PermRock Royalty Trust</t>
  </si>
  <si>
    <t xml:space="preserve">MXC</t>
  </si>
  <si>
    <t xml:space="preserve">Mexco Energy</t>
  </si>
  <si>
    <t xml:space="preserve">IHT</t>
  </si>
  <si>
    <t xml:space="preserve">InnSuites Hospitality Trust</t>
  </si>
  <si>
    <t xml:space="preserve">BESS</t>
  </si>
  <si>
    <t xml:space="preserve">Bimergen Energy</t>
  </si>
  <si>
    <t xml:space="preserve">Battery storage developer - county siting moratoriums</t>
  </si>
  <si>
    <t xml:space="preserve">AHT</t>
  </si>
  <si>
    <t xml:space="preserve">Ashford Hospitality Trust</t>
  </si>
  <si>
    <t xml:space="preserve">BRN</t>
  </si>
  <si>
    <t xml:space="preserve">Barnwell Industries</t>
  </si>
  <si>
    <t xml:space="preserve">Also Hawaii land interests</t>
  </si>
  <si>
    <t xml:space="preserve">PBK</t>
  </si>
  <si>
    <t xml:space="preserve">PowerBank Corp</t>
  </si>
  <si>
    <t xml:space="preserve">Community solar - state program rules</t>
  </si>
  <si>
    <t xml:space="preserve">MTR</t>
  </si>
  <si>
    <t xml:space="preserve">Mesa Royalty Trust</t>
  </si>
  <si>
    <t xml:space="preserve">FSP</t>
  </si>
  <si>
    <t xml:space="preserve">Franklin Street Properties</t>
  </si>
  <si>
    <t xml:space="preserve">MDRR</t>
  </si>
  <si>
    <t xml:space="preserve">Medalist Diversified REIT</t>
  </si>
  <si>
    <t xml:space="preserve">NYC</t>
  </si>
  <si>
    <t xml:space="preserve">American Strategic Investment</t>
  </si>
  <si>
    <t xml:space="preserve">NYC office</t>
  </si>
  <si>
    <t xml:space="preserve">OPAD</t>
  </si>
  <si>
    <t xml:space="preserve">Offerpad</t>
  </si>
  <si>
    <t xml:space="preserve">CMCT</t>
  </si>
  <si>
    <t xml:space="preserve">Creative Media &amp; Community Trust</t>
  </si>
  <si>
    <t xml:space="preserve">MARPS</t>
  </si>
  <si>
    <t xml:space="preserve">Marine Petroleum Trust</t>
  </si>
  <si>
    <t xml:space="preserve">FTHM</t>
  </si>
  <si>
    <t xml:space="preserve">Fathom Holdings</t>
  </si>
  <si>
    <t xml:space="preserve">SQFT</t>
  </si>
  <si>
    <t xml:space="preserve">Presidio Property Trust</t>
  </si>
  <si>
    <t xml:space="preserve">WHLR</t>
  </si>
  <si>
    <t xml:space="preserve">Wheeler REIT</t>
  </si>
  <si>
    <t xml:space="preserve">Archetypes - what drives each group and which public data the platform ingests</t>
  </si>
  <si>
    <t xml:space="preserve">Local-gov intensity</t>
  </si>
  <si>
    <t xml:space="preserve">Data edge</t>
  </si>
  <si>
    <t xml:space="preserve">Screened out of the industry lists, and why</t>
  </si>
  <si>
    <t xml:space="preserve">Reason</t>
  </si>
  <si>
    <t xml:space="preserve">Examples</t>
  </si>
  <si>
    <t xml:space="preserve">Foreign operations / domicile</t>
  </si>
  <si>
    <t xml:space="preserve">e.g., ELLO, WAVE, HTOO, LPA, LND, GTE, NRT, ANNA, MSC, CVEO, ATLX, most China/HK/Singapore-based listings in education, construction and real estate</t>
  </si>
  <si>
    <t xml:space="preserve">Canadian/foreign mine juniors</t>
  </si>
  <si>
    <t xml:space="preserve">e.g., NMG, PHOS, LZM, GRO, VGZ, TRX, CMCL, FURY, GLDG - permits sit outside US local government</t>
  </si>
  <si>
    <t xml:space="preserve">Consumer / tech with no local-gov link</t>
  </si>
  <si>
    <t xml:space="preserve">e.g., leisure brands, Chegg, Skillsoft, Gogo, Cogent, most 'renewable' microcap startups</t>
  </si>
  <si>
    <t xml:space="preserve">Above $500M</t>
  </si>
  <si>
    <t xml:space="preserve">e.g., YORW ($502M) just misses - consider raising the cap to $750M in v2</t>
  </si>
  <si>
    <t xml:space="preserve">Liquidating / delisting</t>
  </si>
  <si>
    <t xml:space="preserve">STRS (plan of liquidation, intends to delist) - GYRO and SRG kept because entitlements drive their liquidation value</t>
  </si>
  <si>
    <t xml:space="preserve">Status unclear</t>
  </si>
  <si>
    <t xml:space="preserve">GREE (Greenidge) - no current listing data found; verify name/ticker before adding</t>
  </si>
  <si>
    <t xml:space="preserve">Method, scoring and caveats</t>
  </si>
  <si>
    <t xml:space="preserve">1. Universe: StockAnalysis.com industry pages (pulled Oct 16, 2026) for ~30 industries where local or state government is a plausible driver: regional banks, utilities, real estate &amp; REITs, land, construction, waste, gaming, lodging, farmland, oil &amp; gas, midstream, mining, telecom, P&amp;C insurance, healthcare facilities, education.</t>
  </si>
  <si>
    <t xml:space="preserve">2. Filter: market cap below $500M, US operations, not a shell. Archetype assigned by industry plus company knowledge; notes added where a specific local body or dataset is known.</t>
  </si>
  <si>
    <t xml:space="preserve">3. Priority = Local-gov intensity (1-3) + Data edge (1-3) + Tradable (1 if &gt;= $50M) + Coverage points (2 if verified zero, 1 if unverified, 0.5 if one analyst, 0 if two or more). Max 9. Intensity and data-edge scores are judgment calls set per archetype on the Archetypes tab - edit them there in the build or override per row.</t>
  </si>
  <si>
    <t xml:space="preserve">4. Coverage: only 14 names are verified so far. Run coverage_check.py on your own computer (it uses Yahoo Finance via the yfinance package) to fill column H for every name; Priority recalculates automatically. Confirm zero-coverage names on Bloomberg (ANR) or CapIQ before saying 'uncovered' in print - free sources miss single-broker coverage.</t>
  </si>
  <si>
    <t xml:space="preserve">5. Expect many community banks to have 1-3 regional-broker analysts (Janney, Hovde, Piper, KBW, Stephens, DA Davidson). They stay in the universe because call-report and deposit data are a real edge even with light coverage.</t>
  </si>
  <si>
    <t xml:space="preserve">6. Market caps are as of Oct 16, 2026 and will drift. A few figures look off (e.g., CABO, WHLR) and are flagged in the Note column - check before use.</t>
  </si>
  <si>
    <t xml:space="preserve">7. Not yet included: OTC-traded companies (likely several hundred more zero-coverage names: community banks, small utilities, land companies), and NYSE/Nasdaq names in industries not pulled here. Adding OTC is the obvious v2.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</si>
</sst>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\$#,##0"/>
    <numFmt numFmtId="167" formatCode="0.0"/>
    <numFmt numFmtId="168" formatCode="\$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COUNTA(Universe!$A$5:$A$241)</f>
        <v>237</v>
      </c>
    </row>
    <row r="5" customFormat="false" ht="15" hidden="false" customHeight="false" outlineLevel="0" collapsed="false">
      <c r="A5" s="3" t="s">
        <v>3</v>
      </c>
      <c r="B5" s="4" t="n">
        <f aca="false">COUNTIF(Universe!$H$5:$H$241,"0 (checked)")</f>
        <v>10</v>
      </c>
    </row>
    <row r="6" customFormat="false" ht="15" hidden="false" customHeight="false" outlineLevel="0" collapsed="false">
      <c r="A6" s="3" t="s">
        <v>4</v>
      </c>
      <c r="B6" s="4" t="n">
        <f aca="false">COUNTIF(Universe!$H$5:$H$241,"Unverified")</f>
        <v>223</v>
      </c>
    </row>
    <row r="7" customFormat="false" ht="15" hidden="false" customHeight="false" outlineLevel="0" collapsed="false">
      <c r="A7" s="3" t="s">
        <v>5</v>
      </c>
      <c r="B7" s="4" t="n">
        <f aca="false">SUM(Universe!$K$5:$K$241)</f>
        <v>207</v>
      </c>
    </row>
    <row r="8" customFormat="false" ht="15" hidden="false" customHeight="false" outlineLevel="0" collapsed="false">
      <c r="A8" s="3" t="s">
        <v>6</v>
      </c>
      <c r="B8" s="5" t="n">
        <f aca="false">SUM(Universe!$C$5:$C$241)</f>
        <v>53091.32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6" t="s">
        <v>8</v>
      </c>
      <c r="B11" s="6" t="s">
        <v>9</v>
      </c>
      <c r="C11" s="6" t="s">
        <v>10</v>
      </c>
      <c r="D11" s="6" t="s">
        <v>11</v>
      </c>
    </row>
    <row r="12" customFormat="false" ht="15" hidden="false" customHeight="false" outlineLevel="0" collapsed="false">
      <c r="A12" s="7" t="s">
        <v>12</v>
      </c>
      <c r="B12" s="7" t="n">
        <f aca="false">COUNTIF(Universe!$D$5:$D$241,A12)</f>
        <v>110</v>
      </c>
      <c r="C12" s="8" t="n">
        <f aca="false">SUMIF(Universe!$D$5:$D$241,A12,Universe!$C$5:$C$241)</f>
        <v>27850.14</v>
      </c>
      <c r="D12" s="9" t="n">
        <f aca="false">AVERAGEIF(Universe!$D$5:$D$241,A12,Universe!$M$5:$M$241)</f>
        <v>6.97272727272727</v>
      </c>
    </row>
    <row r="13" customFormat="false" ht="15" hidden="false" customHeight="false" outlineLevel="0" collapsed="false">
      <c r="A13" s="7" t="s">
        <v>13</v>
      </c>
      <c r="B13" s="7" t="n">
        <f aca="false">COUNTIF(Universe!$D$5:$D$241,A13)</f>
        <v>6</v>
      </c>
      <c r="C13" s="8" t="n">
        <f aca="false">SUMIF(Universe!$D$5:$D$241,A13,Universe!$C$5:$C$241)</f>
        <v>1965.28</v>
      </c>
      <c r="D13" s="9" t="n">
        <f aca="false">AVERAGEIF(Universe!$D$5:$D$241,A13,Universe!$M$5:$M$241)</f>
        <v>7</v>
      </c>
    </row>
    <row r="14" customFormat="false" ht="15" hidden="false" customHeight="false" outlineLevel="0" collapsed="false">
      <c r="A14" s="7" t="s">
        <v>14</v>
      </c>
      <c r="B14" s="7" t="n">
        <f aca="false">COUNTIF(Universe!$D$5:$D$241,A14)</f>
        <v>4</v>
      </c>
      <c r="C14" s="8" t="n">
        <f aca="false">SUMIF(Universe!$D$5:$D$241,A14,Universe!$C$5:$C$241)</f>
        <v>724.41</v>
      </c>
      <c r="D14" s="9" t="n">
        <f aca="false">AVERAGEIF(Universe!$D$5:$D$241,A14,Universe!$M$5:$M$241)</f>
        <v>6.5</v>
      </c>
    </row>
    <row r="15" customFormat="false" ht="15" hidden="false" customHeight="false" outlineLevel="0" collapsed="false">
      <c r="A15" s="7" t="s">
        <v>15</v>
      </c>
      <c r="B15" s="7" t="n">
        <f aca="false">COUNTIF(Universe!$D$5:$D$241,A15)</f>
        <v>14</v>
      </c>
      <c r="C15" s="8" t="n">
        <f aca="false">SUMIF(Universe!$D$5:$D$241,A15,Universe!$C$5:$C$241)</f>
        <v>3428.32</v>
      </c>
      <c r="D15" s="9" t="n">
        <f aca="false">AVERAGEIF(Universe!$D$5:$D$241,A15,Universe!$M$5:$M$241)</f>
        <v>8.03571428571429</v>
      </c>
    </row>
    <row r="16" customFormat="false" ht="15" hidden="false" customHeight="false" outlineLevel="0" collapsed="false">
      <c r="A16" s="7" t="s">
        <v>16</v>
      </c>
      <c r="B16" s="7" t="n">
        <f aca="false">COUNTIF(Universe!$D$5:$D$241,A16)</f>
        <v>18</v>
      </c>
      <c r="C16" s="8" t="n">
        <f aca="false">SUMIF(Universe!$D$5:$D$241,A16,Universe!$C$5:$C$241)</f>
        <v>3380.81</v>
      </c>
      <c r="D16" s="9" t="n">
        <f aca="false">AVERAGEIF(Universe!$D$5:$D$241,A16,Universe!$M$5:$M$241)</f>
        <v>5.77777777777778</v>
      </c>
    </row>
    <row r="17" customFormat="false" ht="15" hidden="false" customHeight="false" outlineLevel="0" collapsed="false">
      <c r="A17" s="7" t="s">
        <v>17</v>
      </c>
      <c r="B17" s="7" t="n">
        <f aca="false">COUNTIF(Universe!$D$5:$D$241,A17)</f>
        <v>8</v>
      </c>
      <c r="C17" s="8" t="n">
        <f aca="false">SUMIF(Universe!$D$5:$D$241,A17,Universe!$C$5:$C$241)</f>
        <v>1908.84</v>
      </c>
      <c r="D17" s="9" t="n">
        <f aca="false">AVERAGEIF(Universe!$D$5:$D$241,A17,Universe!$M$5:$M$241)</f>
        <v>8</v>
      </c>
    </row>
    <row r="18" customFormat="false" ht="15" hidden="false" customHeight="false" outlineLevel="0" collapsed="false">
      <c r="A18" s="7" t="s">
        <v>18</v>
      </c>
      <c r="B18" s="7" t="n">
        <f aca="false">COUNTIF(Universe!$D$5:$D$241,A18)</f>
        <v>3</v>
      </c>
      <c r="C18" s="8" t="n">
        <f aca="false">SUMIF(Universe!$D$5:$D$241,A18,Universe!$C$5:$C$241)</f>
        <v>156.94</v>
      </c>
      <c r="D18" s="9" t="n">
        <f aca="false">AVERAGEIF(Universe!$D$5:$D$241,A18,Universe!$M$5:$M$241)</f>
        <v>5.33333333333333</v>
      </c>
    </row>
    <row r="19" customFormat="false" ht="15" hidden="false" customHeight="false" outlineLevel="0" collapsed="false">
      <c r="A19" s="7" t="s">
        <v>19</v>
      </c>
      <c r="B19" s="7" t="n">
        <f aca="false">COUNTIF(Universe!$D$5:$D$241,A19)</f>
        <v>4</v>
      </c>
      <c r="C19" s="8" t="n">
        <f aca="false">SUMIF(Universe!$D$5:$D$241,A19,Universe!$C$5:$C$241)</f>
        <v>223.46</v>
      </c>
      <c r="D19" s="9" t="n">
        <f aca="false">AVERAGEIF(Universe!$D$5:$D$241,A19,Universe!$M$5:$M$241)</f>
        <v>6.75</v>
      </c>
    </row>
    <row r="20" customFormat="false" ht="15" hidden="false" customHeight="false" outlineLevel="0" collapsed="false">
      <c r="A20" s="7" t="s">
        <v>20</v>
      </c>
      <c r="B20" s="7" t="n">
        <f aca="false">COUNTIF(Universe!$D$5:$D$241,A20)</f>
        <v>3</v>
      </c>
      <c r="C20" s="8" t="n">
        <f aca="false">SUMIF(Universe!$D$5:$D$241,A20,Universe!$C$5:$C$241)</f>
        <v>1289.16</v>
      </c>
      <c r="D20" s="9" t="n">
        <f aca="false">AVERAGEIF(Universe!$D$5:$D$241,A20,Universe!$M$5:$M$241)</f>
        <v>6</v>
      </c>
    </row>
    <row r="21" customFormat="false" ht="15" hidden="false" customHeight="false" outlineLevel="0" collapsed="false">
      <c r="A21" s="7" t="s">
        <v>21</v>
      </c>
      <c r="B21" s="7" t="n">
        <f aca="false">COUNTIF(Universe!$D$5:$D$241,A21)</f>
        <v>3</v>
      </c>
      <c r="C21" s="8" t="n">
        <f aca="false">SUMIF(Universe!$D$5:$D$241,A21,Universe!$C$5:$C$241)</f>
        <v>161.84</v>
      </c>
      <c r="D21" s="9" t="n">
        <f aca="false">AVERAGEIF(Universe!$D$5:$D$241,A21,Universe!$M$5:$M$241)</f>
        <v>8</v>
      </c>
    </row>
    <row r="22" customFormat="false" ht="15" hidden="false" customHeight="false" outlineLevel="0" collapsed="false">
      <c r="A22" s="7" t="s">
        <v>22</v>
      </c>
      <c r="B22" s="7" t="n">
        <f aca="false">COUNTIF(Universe!$D$5:$D$241,A22)</f>
        <v>21</v>
      </c>
      <c r="C22" s="8" t="n">
        <f aca="false">SUMIF(Universe!$D$5:$D$241,A22,Universe!$C$5:$C$241)</f>
        <v>2666.23</v>
      </c>
      <c r="D22" s="9" t="n">
        <f aca="false">AVERAGEIF(Universe!$D$5:$D$241,A22,Universe!$M$5:$M$241)</f>
        <v>6.71428571428571</v>
      </c>
    </row>
    <row r="23" customFormat="false" ht="15" hidden="false" customHeight="false" outlineLevel="0" collapsed="false">
      <c r="A23" s="7" t="s">
        <v>23</v>
      </c>
      <c r="B23" s="7" t="n">
        <f aca="false">COUNTIF(Universe!$D$5:$D$241,A23)</f>
        <v>4</v>
      </c>
      <c r="C23" s="8" t="n">
        <f aca="false">SUMIF(Universe!$D$5:$D$241,A23,Universe!$C$5:$C$241)</f>
        <v>621.79</v>
      </c>
      <c r="D23" s="9" t="n">
        <f aca="false">AVERAGEIF(Universe!$D$5:$D$241,A23,Universe!$M$5:$M$241)</f>
        <v>5.75</v>
      </c>
    </row>
    <row r="24" customFormat="false" ht="15" hidden="false" customHeight="false" outlineLevel="0" collapsed="false">
      <c r="A24" s="7" t="s">
        <v>24</v>
      </c>
      <c r="B24" s="7" t="n">
        <f aca="false">COUNTIF(Universe!$D$5:$D$241,A24)</f>
        <v>14</v>
      </c>
      <c r="C24" s="8" t="n">
        <f aca="false">SUMIF(Universe!$D$5:$D$241,A24,Universe!$C$5:$C$241)</f>
        <v>2847.7</v>
      </c>
      <c r="D24" s="9" t="n">
        <f aca="false">AVERAGEIF(Universe!$D$5:$D$241,A24,Universe!$M$5:$M$241)</f>
        <v>7</v>
      </c>
    </row>
    <row r="25" customFormat="false" ht="15" hidden="false" customHeight="false" outlineLevel="0" collapsed="false">
      <c r="A25" s="7" t="s">
        <v>25</v>
      </c>
      <c r="B25" s="7" t="n">
        <f aca="false">COUNTIF(Universe!$D$5:$D$241,A25)</f>
        <v>9</v>
      </c>
      <c r="C25" s="8" t="n">
        <f aca="false">SUMIF(Universe!$D$5:$D$241,A25,Universe!$C$5:$C$241)</f>
        <v>1622.98</v>
      </c>
      <c r="D25" s="9" t="n">
        <f aca="false">AVERAGEIF(Universe!$D$5:$D$241,A25,Universe!$M$5:$M$241)</f>
        <v>7.77777777777778</v>
      </c>
    </row>
    <row r="26" customFormat="false" ht="15" hidden="false" customHeight="false" outlineLevel="0" collapsed="false">
      <c r="A26" s="7" t="s">
        <v>26</v>
      </c>
      <c r="B26" s="7" t="n">
        <f aca="false">COUNTIF(Universe!$D$5:$D$241,A26)</f>
        <v>2</v>
      </c>
      <c r="C26" s="8" t="n">
        <f aca="false">SUMIF(Universe!$D$5:$D$241,A26,Universe!$C$5:$C$241)</f>
        <v>286.61</v>
      </c>
      <c r="D26" s="9" t="n">
        <f aca="false">AVERAGEIF(Universe!$D$5:$D$241,A26,Universe!$M$5:$M$241)</f>
        <v>7</v>
      </c>
    </row>
    <row r="27" customFormat="false" ht="15" hidden="false" customHeight="false" outlineLevel="0" collapsed="false">
      <c r="A27" s="7" t="s">
        <v>27</v>
      </c>
      <c r="B27" s="7" t="n">
        <f aca="false">COUNTIF(Universe!$D$5:$D$241,A27)</f>
        <v>4</v>
      </c>
      <c r="C27" s="8" t="n">
        <f aca="false">SUMIF(Universe!$D$5:$D$241,A27,Universe!$C$5:$C$241)</f>
        <v>1322.23</v>
      </c>
      <c r="D27" s="9" t="n">
        <f aca="false">AVERAGEIF(Universe!$D$5:$D$241,A27,Universe!$M$5:$M$241)</f>
        <v>7</v>
      </c>
    </row>
    <row r="28" customFormat="false" ht="15" hidden="false" customHeight="false" outlineLevel="0" collapsed="false">
      <c r="A28" s="7" t="s">
        <v>28</v>
      </c>
      <c r="B28" s="7" t="n">
        <f aca="false">COUNTIF(Universe!$D$5:$D$241,A28)</f>
        <v>5</v>
      </c>
      <c r="C28" s="8" t="n">
        <f aca="false">SUMIF(Universe!$D$5:$D$241,A28,Universe!$C$5:$C$241)</f>
        <v>1842.11</v>
      </c>
      <c r="D28" s="9" t="n">
        <f aca="false">AVERAGEIF(Universe!$D$5:$D$241,A28,Universe!$M$5:$M$241)</f>
        <v>8</v>
      </c>
    </row>
    <row r="29" customFormat="false" ht="15" hidden="false" customHeight="false" outlineLevel="0" collapsed="false">
      <c r="A29" s="7" t="s">
        <v>29</v>
      </c>
      <c r="B29" s="7" t="n">
        <f aca="false">COUNTIF(Universe!$D$5:$D$241,A29)</f>
        <v>2</v>
      </c>
      <c r="C29" s="8" t="n">
        <f aca="false">SUMIF(Universe!$D$5:$D$241,A29,Universe!$C$5:$C$241)</f>
        <v>413.54</v>
      </c>
      <c r="D29" s="9" t="n">
        <f aca="false">AVERAGEIF(Universe!$D$5:$D$241,A29,Universe!$M$5:$M$241)</f>
        <v>7.5</v>
      </c>
    </row>
    <row r="30" customFormat="false" ht="15" hidden="false" customHeight="false" outlineLevel="0" collapsed="false">
      <c r="A30" s="7" t="s">
        <v>30</v>
      </c>
      <c r="B30" s="7" t="n">
        <f aca="false">COUNTIF(Universe!$D$5:$D$241,A30)</f>
        <v>3</v>
      </c>
      <c r="C30" s="8" t="n">
        <f aca="false">SUMIF(Universe!$D$5:$D$241,A30,Universe!$C$5:$C$241)</f>
        <v>378.93</v>
      </c>
      <c r="D30" s="9" t="n">
        <f aca="false">AVERAGEIF(Universe!$D$5:$D$241,A30,Universe!$M$5:$M$241)</f>
        <v>6.66666666666667</v>
      </c>
    </row>
    <row r="31" customFormat="false" ht="15" hidden="false" customHeight="false" outlineLevel="0" collapsed="false">
      <c r="A31" s="4" t="s">
        <v>31</v>
      </c>
      <c r="B31" s="4" t="n">
        <f aca="false">SUM(B12:B30)</f>
        <v>237</v>
      </c>
      <c r="C31" s="5" t="n">
        <f aca="false">SUM(C12:C30)</f>
        <v>53091.32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52"/>
    <col collapsed="false" customWidth="true" hidden="false" outlineLevel="0" max="7" min="7" style="0" width="40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2" min="10" style="0" width="9"/>
    <col collapsed="false" customWidth="true" hidden="false" outlineLevel="0" max="13" min="13" style="0" width="8"/>
    <col collapsed="false" customWidth="true" hidden="false" outlineLevel="0" max="14" min="14" style="0" width="13"/>
  </cols>
  <sheetData>
    <row r="1" customFormat="false" ht="17.35" hidden="false" customHeight="false" outlineLevel="0" collapsed="false">
      <c r="A1" s="1" t="s">
        <v>32</v>
      </c>
    </row>
    <row r="2" customFormat="false" ht="39.75" hidden="false" customHeight="true" outlineLevel="0" collapsed="false">
      <c r="A2" s="10" t="s">
        <v>33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customFormat="false" ht="30" hidden="false" customHeight="true" outlineLevel="0" collapsed="false">
      <c r="A4" s="11" t="s">
        <v>34</v>
      </c>
      <c r="B4" s="11" t="s">
        <v>35</v>
      </c>
      <c r="C4" s="11" t="s">
        <v>10</v>
      </c>
      <c r="D4" s="11" t="s">
        <v>8</v>
      </c>
      <c r="E4" s="11" t="s">
        <v>36</v>
      </c>
      <c r="F4" s="11" t="s">
        <v>37</v>
      </c>
      <c r="G4" s="11" t="s">
        <v>38</v>
      </c>
      <c r="H4" s="11" t="s">
        <v>39</v>
      </c>
      <c r="I4" s="11" t="s">
        <v>40</v>
      </c>
      <c r="J4" s="11" t="s">
        <v>41</v>
      </c>
      <c r="K4" s="11" t="s">
        <v>42</v>
      </c>
      <c r="L4" s="11" t="s">
        <v>43</v>
      </c>
      <c r="M4" s="11" t="s">
        <v>44</v>
      </c>
      <c r="N4" s="11" t="s">
        <v>45</v>
      </c>
    </row>
    <row r="5" customFormat="false" ht="23.85" hidden="false" customHeight="false" outlineLevel="0" collapsed="false">
      <c r="A5" s="12" t="s">
        <v>46</v>
      </c>
      <c r="B5" s="13" t="s">
        <v>47</v>
      </c>
      <c r="C5" s="14" t="n">
        <v>437.21</v>
      </c>
      <c r="D5" s="15" t="s">
        <v>15</v>
      </c>
      <c r="E5" s="13" t="s">
        <v>48</v>
      </c>
      <c r="F5" s="13" t="s">
        <v>49</v>
      </c>
      <c r="G5" s="13" t="s">
        <v>50</v>
      </c>
      <c r="H5" s="16" t="s">
        <v>51</v>
      </c>
      <c r="I5" s="15" t="n">
        <v>3</v>
      </c>
      <c r="J5" s="15" t="n">
        <v>3</v>
      </c>
      <c r="K5" s="15" t="n">
        <f aca="false">IF(C5&gt;=50,1,0)</f>
        <v>1</v>
      </c>
      <c r="L5" s="17" t="n">
        <f aca="false">IF(H5="0 (checked)",2,IF(H5="Unverified",1,IF(H5="1 (checked)",0.5,0)))</f>
        <v>2</v>
      </c>
      <c r="M5" s="17" t="n">
        <f aca="false">I5+J5+K5+L5</f>
        <v>9</v>
      </c>
      <c r="N5" s="15" t="str">
        <f aca="false">IF(C5&lt;25,"Nano (&lt;$25M)",IF(C5&lt;100,"$25-100M",IF(C5&lt;250,"$100-250M","$250-500M")))</f>
        <v>$250-500M</v>
      </c>
    </row>
    <row r="6" customFormat="false" ht="23.85" hidden="false" customHeight="false" outlineLevel="0" collapsed="false">
      <c r="A6" s="12" t="s">
        <v>52</v>
      </c>
      <c r="B6" s="13" t="s">
        <v>53</v>
      </c>
      <c r="C6" s="14" t="n">
        <v>295.9</v>
      </c>
      <c r="D6" s="15" t="s">
        <v>15</v>
      </c>
      <c r="E6" s="13" t="s">
        <v>48</v>
      </c>
      <c r="F6" s="13" t="s">
        <v>49</v>
      </c>
      <c r="G6" s="13" t="s">
        <v>54</v>
      </c>
      <c r="H6" s="16" t="s">
        <v>51</v>
      </c>
      <c r="I6" s="15" t="n">
        <v>3</v>
      </c>
      <c r="J6" s="15" t="n">
        <v>3</v>
      </c>
      <c r="K6" s="15" t="n">
        <f aca="false">IF(C6&gt;=50,1,0)</f>
        <v>1</v>
      </c>
      <c r="L6" s="17" t="n">
        <f aca="false">IF(H6="0 (checked)",2,IF(H6="Unverified",1,IF(H6="1 (checked)",0.5,0)))</f>
        <v>2</v>
      </c>
      <c r="M6" s="17" t="n">
        <f aca="false">I6+J6+K6+L6</f>
        <v>9</v>
      </c>
      <c r="N6" s="15" t="str">
        <f aca="false">IF(C6&lt;25,"Nano (&lt;$25M)",IF(C6&lt;100,"$25-100M",IF(C6&lt;250,"$100-250M","$250-500M")))</f>
        <v>$250-500M</v>
      </c>
    </row>
    <row r="7" customFormat="false" ht="23.85" hidden="false" customHeight="false" outlineLevel="0" collapsed="false">
      <c r="A7" s="12" t="s">
        <v>55</v>
      </c>
      <c r="B7" s="13" t="s">
        <v>56</v>
      </c>
      <c r="C7" s="14" t="n">
        <v>81.64</v>
      </c>
      <c r="D7" s="15" t="s">
        <v>21</v>
      </c>
      <c r="E7" s="13" t="s">
        <v>57</v>
      </c>
      <c r="F7" s="13" t="s">
        <v>58</v>
      </c>
      <c r="G7" s="13" t="s">
        <v>59</v>
      </c>
      <c r="H7" s="16" t="s">
        <v>51</v>
      </c>
      <c r="I7" s="15" t="n">
        <v>3</v>
      </c>
      <c r="J7" s="15" t="n">
        <v>3</v>
      </c>
      <c r="K7" s="15" t="n">
        <f aca="false">IF(C7&gt;=50,1,0)</f>
        <v>1</v>
      </c>
      <c r="L7" s="17" t="n">
        <f aca="false">IF(H7="0 (checked)",2,IF(H7="Unverified",1,IF(H7="1 (checked)",0.5,0)))</f>
        <v>2</v>
      </c>
      <c r="M7" s="17" t="n">
        <f aca="false">I7+J7+K7+L7</f>
        <v>9</v>
      </c>
      <c r="N7" s="15" t="str">
        <f aca="false">IF(C7&lt;25,"Nano (&lt;$25M)",IF(C7&lt;100,"$25-100M",IF(C7&lt;250,"$100-250M","$250-500M")))</f>
        <v>$25-100M</v>
      </c>
    </row>
    <row r="8" customFormat="false" ht="23.85" hidden="false" customHeight="false" outlineLevel="0" collapsed="false">
      <c r="A8" s="12" t="s">
        <v>60</v>
      </c>
      <c r="B8" s="13" t="s">
        <v>61</v>
      </c>
      <c r="C8" s="14" t="n">
        <v>497.1</v>
      </c>
      <c r="D8" s="15" t="s">
        <v>15</v>
      </c>
      <c r="E8" s="13" t="s">
        <v>48</v>
      </c>
      <c r="F8" s="13" t="s">
        <v>49</v>
      </c>
      <c r="G8" s="13" t="s">
        <v>62</v>
      </c>
      <c r="H8" s="16" t="s">
        <v>63</v>
      </c>
      <c r="I8" s="15" t="n">
        <v>3</v>
      </c>
      <c r="J8" s="15" t="n">
        <v>3</v>
      </c>
      <c r="K8" s="15" t="n">
        <f aca="false">IF(C8&gt;=50,1,0)</f>
        <v>1</v>
      </c>
      <c r="L8" s="17" t="n">
        <f aca="false">IF(H8="0 (checked)",2,IF(H8="Unverified",1,IF(H8="1 (checked)",0.5,0)))</f>
        <v>1</v>
      </c>
      <c r="M8" s="17" t="n">
        <f aca="false">I8+J8+K8+L8</f>
        <v>8</v>
      </c>
      <c r="N8" s="15" t="str">
        <f aca="false">IF(C8&lt;25,"Nano (&lt;$25M)",IF(C8&lt;100,"$25-100M",IF(C8&lt;250,"$100-250M","$250-500M")))</f>
        <v>$250-500M</v>
      </c>
    </row>
    <row r="9" customFormat="false" ht="23.85" hidden="false" customHeight="false" outlineLevel="0" collapsed="false">
      <c r="A9" s="12" t="s">
        <v>64</v>
      </c>
      <c r="B9" s="13" t="s">
        <v>65</v>
      </c>
      <c r="C9" s="14" t="n">
        <v>488.46</v>
      </c>
      <c r="D9" s="15" t="s">
        <v>28</v>
      </c>
      <c r="E9" s="13" t="s">
        <v>66</v>
      </c>
      <c r="F9" s="13" t="s">
        <v>67</v>
      </c>
      <c r="G9" s="13" t="s">
        <v>68</v>
      </c>
      <c r="H9" s="16" t="s">
        <v>63</v>
      </c>
      <c r="I9" s="15" t="n">
        <v>3</v>
      </c>
      <c r="J9" s="15" t="n">
        <v>3</v>
      </c>
      <c r="K9" s="15" t="n">
        <f aca="false">IF(C9&gt;=50,1,0)</f>
        <v>1</v>
      </c>
      <c r="L9" s="17" t="n">
        <f aca="false">IF(H9="0 (checked)",2,IF(H9="Unverified",1,IF(H9="1 (checked)",0.5,0)))</f>
        <v>1</v>
      </c>
      <c r="M9" s="17" t="n">
        <f aca="false">I9+J9+K9+L9</f>
        <v>8</v>
      </c>
      <c r="N9" s="15" t="str">
        <f aca="false">IF(C9&lt;25,"Nano (&lt;$25M)",IF(C9&lt;100,"$25-100M",IF(C9&lt;250,"$100-250M","$250-500M")))</f>
        <v>$250-500M</v>
      </c>
    </row>
    <row r="10" customFormat="false" ht="23.85" hidden="false" customHeight="false" outlineLevel="0" collapsed="false">
      <c r="A10" s="12" t="s">
        <v>69</v>
      </c>
      <c r="B10" s="13" t="s">
        <v>70</v>
      </c>
      <c r="C10" s="14" t="n">
        <v>469.19</v>
      </c>
      <c r="D10" s="15" t="s">
        <v>17</v>
      </c>
      <c r="E10" s="13" t="s">
        <v>71</v>
      </c>
      <c r="F10" s="13" t="s">
        <v>72</v>
      </c>
      <c r="G10" s="13"/>
      <c r="H10" s="16" t="s">
        <v>63</v>
      </c>
      <c r="I10" s="15" t="n">
        <v>3</v>
      </c>
      <c r="J10" s="15" t="n">
        <v>3</v>
      </c>
      <c r="K10" s="15" t="n">
        <f aca="false">IF(C10&gt;=50,1,0)</f>
        <v>1</v>
      </c>
      <c r="L10" s="17" t="n">
        <f aca="false">IF(H10="0 (checked)",2,IF(H10="Unverified",1,IF(H10="1 (checked)",0.5,0)))</f>
        <v>1</v>
      </c>
      <c r="M10" s="17" t="n">
        <f aca="false">I10+J10+K10+L10</f>
        <v>8</v>
      </c>
      <c r="N10" s="15" t="str">
        <f aca="false">IF(C10&lt;25,"Nano (&lt;$25M)",IF(C10&lt;100,"$25-100M",IF(C10&lt;250,"$100-250M","$250-500M")))</f>
        <v>$250-500M</v>
      </c>
    </row>
    <row r="11" customFormat="false" ht="23.85" hidden="false" customHeight="false" outlineLevel="0" collapsed="false">
      <c r="A11" s="12" t="s">
        <v>73</v>
      </c>
      <c r="B11" s="13" t="s">
        <v>74</v>
      </c>
      <c r="C11" s="14" t="n">
        <v>457.57</v>
      </c>
      <c r="D11" s="15" t="s">
        <v>25</v>
      </c>
      <c r="E11" s="13" t="s">
        <v>75</v>
      </c>
      <c r="F11" s="13" t="s">
        <v>76</v>
      </c>
      <c r="G11" s="13"/>
      <c r="H11" s="16" t="s">
        <v>63</v>
      </c>
      <c r="I11" s="15" t="n">
        <v>3</v>
      </c>
      <c r="J11" s="15" t="n">
        <v>3</v>
      </c>
      <c r="K11" s="15" t="n">
        <f aca="false">IF(C11&gt;=50,1,0)</f>
        <v>1</v>
      </c>
      <c r="L11" s="17" t="n">
        <f aca="false">IF(H11="0 (checked)",2,IF(H11="Unverified",1,IF(H11="1 (checked)",0.5,0)))</f>
        <v>1</v>
      </c>
      <c r="M11" s="17" t="n">
        <f aca="false">I11+J11+K11+L11</f>
        <v>8</v>
      </c>
      <c r="N11" s="15" t="str">
        <f aca="false">IF(C11&lt;25,"Nano (&lt;$25M)",IF(C11&lt;100,"$25-100M",IF(C11&lt;250,"$100-250M","$250-500M")))</f>
        <v>$250-500M</v>
      </c>
    </row>
    <row r="12" customFormat="false" ht="23.85" hidden="false" customHeight="false" outlineLevel="0" collapsed="false">
      <c r="A12" s="12" t="s">
        <v>77</v>
      </c>
      <c r="B12" s="13" t="s">
        <v>78</v>
      </c>
      <c r="C12" s="14" t="n">
        <v>431.42</v>
      </c>
      <c r="D12" s="15" t="s">
        <v>15</v>
      </c>
      <c r="E12" s="13" t="s">
        <v>48</v>
      </c>
      <c r="F12" s="13" t="s">
        <v>49</v>
      </c>
      <c r="G12" s="13" t="s">
        <v>79</v>
      </c>
      <c r="H12" s="16" t="s">
        <v>63</v>
      </c>
      <c r="I12" s="15" t="n">
        <v>3</v>
      </c>
      <c r="J12" s="15" t="n">
        <v>3</v>
      </c>
      <c r="K12" s="15" t="n">
        <f aca="false">IF(C12&gt;=50,1,0)</f>
        <v>1</v>
      </c>
      <c r="L12" s="17" t="n">
        <f aca="false">IF(H12="0 (checked)",2,IF(H12="Unverified",1,IF(H12="1 (checked)",0.5,0)))</f>
        <v>1</v>
      </c>
      <c r="M12" s="17" t="n">
        <f aca="false">I12+J12+K12+L12</f>
        <v>8</v>
      </c>
      <c r="N12" s="15" t="str">
        <f aca="false">IF(C12&lt;25,"Nano (&lt;$25M)",IF(C12&lt;100,"$25-100M",IF(C12&lt;250,"$100-250M","$250-500M")))</f>
        <v>$250-500M</v>
      </c>
    </row>
    <row r="13" customFormat="false" ht="23.85" hidden="false" customHeight="false" outlineLevel="0" collapsed="false">
      <c r="A13" s="12" t="s">
        <v>80</v>
      </c>
      <c r="B13" s="13" t="s">
        <v>81</v>
      </c>
      <c r="C13" s="14" t="n">
        <v>421.86</v>
      </c>
      <c r="D13" s="15" t="s">
        <v>28</v>
      </c>
      <c r="E13" s="13" t="s">
        <v>66</v>
      </c>
      <c r="F13" s="13" t="s">
        <v>67</v>
      </c>
      <c r="G13" s="13" t="s">
        <v>68</v>
      </c>
      <c r="H13" s="16" t="s">
        <v>63</v>
      </c>
      <c r="I13" s="15" t="n">
        <v>3</v>
      </c>
      <c r="J13" s="15" t="n">
        <v>3</v>
      </c>
      <c r="K13" s="15" t="n">
        <f aca="false">IF(C13&gt;=50,1,0)</f>
        <v>1</v>
      </c>
      <c r="L13" s="17" t="n">
        <f aca="false">IF(H13="0 (checked)",2,IF(H13="Unverified",1,IF(H13="1 (checked)",0.5,0)))</f>
        <v>1</v>
      </c>
      <c r="M13" s="17" t="n">
        <f aca="false">I13+J13+K13+L13</f>
        <v>8</v>
      </c>
      <c r="N13" s="15" t="str">
        <f aca="false">IF(C13&lt;25,"Nano (&lt;$25M)",IF(C13&lt;100,"$25-100M",IF(C13&lt;250,"$100-250M","$250-500M")))</f>
        <v>$250-500M</v>
      </c>
    </row>
    <row r="14" customFormat="false" ht="23.85" hidden="false" customHeight="false" outlineLevel="0" collapsed="false">
      <c r="A14" s="12" t="s">
        <v>82</v>
      </c>
      <c r="B14" s="13" t="s">
        <v>83</v>
      </c>
      <c r="C14" s="14" t="n">
        <v>405.23</v>
      </c>
      <c r="D14" s="15" t="s">
        <v>29</v>
      </c>
      <c r="E14" s="13" t="s">
        <v>84</v>
      </c>
      <c r="F14" s="13" t="s">
        <v>85</v>
      </c>
      <c r="G14" s="13" t="s">
        <v>86</v>
      </c>
      <c r="H14" s="16" t="s">
        <v>63</v>
      </c>
      <c r="I14" s="15" t="n">
        <v>3</v>
      </c>
      <c r="J14" s="15" t="n">
        <v>3</v>
      </c>
      <c r="K14" s="15" t="n">
        <f aca="false">IF(C14&gt;=50,1,0)</f>
        <v>1</v>
      </c>
      <c r="L14" s="17" t="n">
        <f aca="false">IF(H14="0 (checked)",2,IF(H14="Unverified",1,IF(H14="1 (checked)",0.5,0)))</f>
        <v>1</v>
      </c>
      <c r="M14" s="17" t="n">
        <f aca="false">I14+J14+K14+L14</f>
        <v>8</v>
      </c>
      <c r="N14" s="15" t="str">
        <f aca="false">IF(C14&lt;25,"Nano (&lt;$25M)",IF(C14&lt;100,"$25-100M",IF(C14&lt;250,"$100-250M","$250-500M")))</f>
        <v>$250-500M</v>
      </c>
    </row>
    <row r="15" customFormat="false" ht="23.85" hidden="false" customHeight="false" outlineLevel="0" collapsed="false">
      <c r="A15" s="12" t="s">
        <v>87</v>
      </c>
      <c r="B15" s="13" t="s">
        <v>88</v>
      </c>
      <c r="C15" s="14" t="n">
        <v>371.64</v>
      </c>
      <c r="D15" s="15" t="s">
        <v>28</v>
      </c>
      <c r="E15" s="13" t="s">
        <v>66</v>
      </c>
      <c r="F15" s="13" t="s">
        <v>67</v>
      </c>
      <c r="G15" s="13"/>
      <c r="H15" s="16" t="s">
        <v>63</v>
      </c>
      <c r="I15" s="15" t="n">
        <v>3</v>
      </c>
      <c r="J15" s="15" t="n">
        <v>3</v>
      </c>
      <c r="K15" s="15" t="n">
        <f aca="false">IF(C15&gt;=50,1,0)</f>
        <v>1</v>
      </c>
      <c r="L15" s="17" t="n">
        <f aca="false">IF(H15="0 (checked)",2,IF(H15="Unverified",1,IF(H15="1 (checked)",0.5,0)))</f>
        <v>1</v>
      </c>
      <c r="M15" s="17" t="n">
        <f aca="false">I15+J15+K15+L15</f>
        <v>8</v>
      </c>
      <c r="N15" s="15" t="str">
        <f aca="false">IF(C15&lt;25,"Nano (&lt;$25M)",IF(C15&lt;100,"$25-100M",IF(C15&lt;250,"$100-250M","$250-500M")))</f>
        <v>$250-500M</v>
      </c>
    </row>
    <row r="16" customFormat="false" ht="23.85" hidden="false" customHeight="false" outlineLevel="0" collapsed="false">
      <c r="A16" s="12" t="s">
        <v>89</v>
      </c>
      <c r="B16" s="13" t="s">
        <v>90</v>
      </c>
      <c r="C16" s="14" t="n">
        <v>358.72</v>
      </c>
      <c r="D16" s="15" t="s">
        <v>17</v>
      </c>
      <c r="E16" s="13" t="s">
        <v>71</v>
      </c>
      <c r="F16" s="13" t="s">
        <v>72</v>
      </c>
      <c r="G16" s="13" t="s">
        <v>91</v>
      </c>
      <c r="H16" s="16" t="s">
        <v>63</v>
      </c>
      <c r="I16" s="15" t="n">
        <v>3</v>
      </c>
      <c r="J16" s="15" t="n">
        <v>3</v>
      </c>
      <c r="K16" s="15" t="n">
        <f aca="false">IF(C16&gt;=50,1,0)</f>
        <v>1</v>
      </c>
      <c r="L16" s="17" t="n">
        <f aca="false">IF(H16="0 (checked)",2,IF(H16="Unverified",1,IF(H16="1 (checked)",0.5,0)))</f>
        <v>1</v>
      </c>
      <c r="M16" s="17" t="n">
        <f aca="false">I16+J16+K16+L16</f>
        <v>8</v>
      </c>
      <c r="N16" s="15" t="str">
        <f aca="false">IF(C16&lt;25,"Nano (&lt;$25M)",IF(C16&lt;100,"$25-100M",IF(C16&lt;250,"$100-250M","$250-500M")))</f>
        <v>$250-500M</v>
      </c>
    </row>
    <row r="17" customFormat="false" ht="23.85" hidden="false" customHeight="false" outlineLevel="0" collapsed="false">
      <c r="A17" s="12" t="s">
        <v>92</v>
      </c>
      <c r="B17" s="13" t="s">
        <v>93</v>
      </c>
      <c r="C17" s="14" t="n">
        <v>345.02</v>
      </c>
      <c r="D17" s="15" t="s">
        <v>25</v>
      </c>
      <c r="E17" s="13" t="s">
        <v>75</v>
      </c>
      <c r="F17" s="13" t="s">
        <v>76</v>
      </c>
      <c r="G17" s="13" t="s">
        <v>94</v>
      </c>
      <c r="H17" s="16" t="s">
        <v>63</v>
      </c>
      <c r="I17" s="15" t="n">
        <v>3</v>
      </c>
      <c r="J17" s="15" t="n">
        <v>3</v>
      </c>
      <c r="K17" s="15" t="n">
        <f aca="false">IF(C17&gt;=50,1,0)</f>
        <v>1</v>
      </c>
      <c r="L17" s="17" t="n">
        <f aca="false">IF(H17="0 (checked)",2,IF(H17="Unverified",1,IF(H17="1 (checked)",0.5,0)))</f>
        <v>1</v>
      </c>
      <c r="M17" s="17" t="n">
        <f aca="false">I17+J17+K17+L17</f>
        <v>8</v>
      </c>
      <c r="N17" s="15" t="str">
        <f aca="false">IF(C17&lt;25,"Nano (&lt;$25M)",IF(C17&lt;100,"$25-100M",IF(C17&lt;250,"$100-250M","$250-500M")))</f>
        <v>$250-500M</v>
      </c>
    </row>
    <row r="18" customFormat="false" ht="23.85" hidden="false" customHeight="false" outlineLevel="0" collapsed="false">
      <c r="A18" s="12" t="s">
        <v>95</v>
      </c>
      <c r="B18" s="13" t="s">
        <v>96</v>
      </c>
      <c r="C18" s="14" t="n">
        <v>321.45</v>
      </c>
      <c r="D18" s="15" t="s">
        <v>15</v>
      </c>
      <c r="E18" s="13" t="s">
        <v>48</v>
      </c>
      <c r="F18" s="13" t="s">
        <v>49</v>
      </c>
      <c r="G18" s="13" t="s">
        <v>97</v>
      </c>
      <c r="H18" s="16" t="s">
        <v>63</v>
      </c>
      <c r="I18" s="15" t="n">
        <v>3</v>
      </c>
      <c r="J18" s="15" t="n">
        <v>3</v>
      </c>
      <c r="K18" s="15" t="n">
        <f aca="false">IF(C18&gt;=50,1,0)</f>
        <v>1</v>
      </c>
      <c r="L18" s="17" t="n">
        <f aca="false">IF(H18="0 (checked)",2,IF(H18="Unverified",1,IF(H18="1 (checked)",0.5,0)))</f>
        <v>1</v>
      </c>
      <c r="M18" s="17" t="n">
        <f aca="false">I18+J18+K18+L18</f>
        <v>8</v>
      </c>
      <c r="N18" s="15" t="str">
        <f aca="false">IF(C18&lt;25,"Nano (&lt;$25M)",IF(C18&lt;100,"$25-100M",IF(C18&lt;250,"$100-250M","$250-500M")))</f>
        <v>$250-500M</v>
      </c>
    </row>
    <row r="19" customFormat="false" ht="23.85" hidden="false" customHeight="false" outlineLevel="0" collapsed="false">
      <c r="A19" s="12" t="s">
        <v>98</v>
      </c>
      <c r="B19" s="13" t="s">
        <v>99</v>
      </c>
      <c r="C19" s="14" t="n">
        <v>305.66</v>
      </c>
      <c r="D19" s="15" t="s">
        <v>28</v>
      </c>
      <c r="E19" s="13" t="s">
        <v>66</v>
      </c>
      <c r="F19" s="13" t="s">
        <v>67</v>
      </c>
      <c r="G19" s="13" t="s">
        <v>100</v>
      </c>
      <c r="H19" s="16" t="s">
        <v>63</v>
      </c>
      <c r="I19" s="15" t="n">
        <v>3</v>
      </c>
      <c r="J19" s="15" t="n">
        <v>3</v>
      </c>
      <c r="K19" s="15" t="n">
        <f aca="false">IF(C19&gt;=50,1,0)</f>
        <v>1</v>
      </c>
      <c r="L19" s="17" t="n">
        <f aca="false">IF(H19="0 (checked)",2,IF(H19="Unverified",1,IF(H19="1 (checked)",0.5,0)))</f>
        <v>1</v>
      </c>
      <c r="M19" s="17" t="n">
        <f aca="false">I19+J19+K19+L19</f>
        <v>8</v>
      </c>
      <c r="N19" s="15" t="str">
        <f aca="false">IF(C19&lt;25,"Nano (&lt;$25M)",IF(C19&lt;100,"$25-100M",IF(C19&lt;250,"$100-250M","$250-500M")))</f>
        <v>$250-500M</v>
      </c>
    </row>
    <row r="20" customFormat="false" ht="23.85" hidden="false" customHeight="false" outlineLevel="0" collapsed="false">
      <c r="A20" s="12" t="s">
        <v>101</v>
      </c>
      <c r="B20" s="13" t="s">
        <v>102</v>
      </c>
      <c r="C20" s="14" t="n">
        <v>293.16</v>
      </c>
      <c r="D20" s="15" t="s">
        <v>15</v>
      </c>
      <c r="E20" s="13" t="s">
        <v>48</v>
      </c>
      <c r="F20" s="13" t="s">
        <v>49</v>
      </c>
      <c r="G20" s="13" t="s">
        <v>103</v>
      </c>
      <c r="H20" s="16" t="s">
        <v>63</v>
      </c>
      <c r="I20" s="15" t="n">
        <v>3</v>
      </c>
      <c r="J20" s="15" t="n">
        <v>3</v>
      </c>
      <c r="K20" s="15" t="n">
        <f aca="false">IF(C20&gt;=50,1,0)</f>
        <v>1</v>
      </c>
      <c r="L20" s="17" t="n">
        <f aca="false">IF(H20="0 (checked)",2,IF(H20="Unverified",1,IF(H20="1 (checked)",0.5,0)))</f>
        <v>1</v>
      </c>
      <c r="M20" s="17" t="n">
        <f aca="false">I20+J20+K20+L20</f>
        <v>8</v>
      </c>
      <c r="N20" s="15" t="str">
        <f aca="false">IF(C20&lt;25,"Nano (&lt;$25M)",IF(C20&lt;100,"$25-100M",IF(C20&lt;250,"$100-250M","$250-500M")))</f>
        <v>$250-500M</v>
      </c>
    </row>
    <row r="21" customFormat="false" ht="23.85" hidden="false" customHeight="false" outlineLevel="0" collapsed="false">
      <c r="A21" s="12" t="s">
        <v>104</v>
      </c>
      <c r="B21" s="13" t="s">
        <v>105</v>
      </c>
      <c r="C21" s="14" t="n">
        <v>283.49</v>
      </c>
      <c r="D21" s="15" t="s">
        <v>25</v>
      </c>
      <c r="E21" s="13" t="s">
        <v>75</v>
      </c>
      <c r="F21" s="13" t="s">
        <v>76</v>
      </c>
      <c r="G21" s="13"/>
      <c r="H21" s="16" t="s">
        <v>63</v>
      </c>
      <c r="I21" s="15" t="n">
        <v>3</v>
      </c>
      <c r="J21" s="15" t="n">
        <v>3</v>
      </c>
      <c r="K21" s="15" t="n">
        <f aca="false">IF(C21&gt;=50,1,0)</f>
        <v>1</v>
      </c>
      <c r="L21" s="17" t="n">
        <f aca="false">IF(H21="0 (checked)",2,IF(H21="Unverified",1,IF(H21="1 (checked)",0.5,0)))</f>
        <v>1</v>
      </c>
      <c r="M21" s="17" t="n">
        <f aca="false">I21+J21+K21+L21</f>
        <v>8</v>
      </c>
      <c r="N21" s="15" t="str">
        <f aca="false">IF(C21&lt;25,"Nano (&lt;$25M)",IF(C21&lt;100,"$25-100M",IF(C21&lt;250,"$100-250M","$250-500M")))</f>
        <v>$250-500M</v>
      </c>
    </row>
    <row r="22" customFormat="false" ht="23.85" hidden="false" customHeight="false" outlineLevel="0" collapsed="false">
      <c r="A22" s="12" t="s">
        <v>106</v>
      </c>
      <c r="B22" s="13" t="s">
        <v>107</v>
      </c>
      <c r="C22" s="14" t="n">
        <v>266.03</v>
      </c>
      <c r="D22" s="15" t="s">
        <v>13</v>
      </c>
      <c r="E22" s="13" t="s">
        <v>108</v>
      </c>
      <c r="F22" s="13" t="s">
        <v>109</v>
      </c>
      <c r="G22" s="13" t="s">
        <v>110</v>
      </c>
      <c r="H22" s="16" t="s">
        <v>51</v>
      </c>
      <c r="I22" s="15" t="n">
        <v>3</v>
      </c>
      <c r="J22" s="15" t="n">
        <v>2</v>
      </c>
      <c r="K22" s="15" t="n">
        <f aca="false">IF(C22&gt;=50,1,0)</f>
        <v>1</v>
      </c>
      <c r="L22" s="17" t="n">
        <f aca="false">IF(H22="0 (checked)",2,IF(H22="Unverified",1,IF(H22="1 (checked)",0.5,0)))</f>
        <v>2</v>
      </c>
      <c r="M22" s="17" t="n">
        <f aca="false">I22+J22+K22+L22</f>
        <v>8</v>
      </c>
      <c r="N22" s="15" t="str">
        <f aca="false">IF(C22&lt;25,"Nano (&lt;$25M)",IF(C22&lt;100,"$25-100M",IF(C22&lt;250,"$100-250M","$250-500M")))</f>
        <v>$250-500M</v>
      </c>
    </row>
    <row r="23" customFormat="false" ht="23.85" hidden="false" customHeight="false" outlineLevel="0" collapsed="false">
      <c r="A23" s="12" t="s">
        <v>111</v>
      </c>
      <c r="B23" s="13" t="s">
        <v>112</v>
      </c>
      <c r="C23" s="14" t="n">
        <v>256.81</v>
      </c>
      <c r="D23" s="15" t="s">
        <v>17</v>
      </c>
      <c r="E23" s="13" t="s">
        <v>71</v>
      </c>
      <c r="F23" s="13" t="s">
        <v>72</v>
      </c>
      <c r="G23" s="13"/>
      <c r="H23" s="16" t="s">
        <v>63</v>
      </c>
      <c r="I23" s="15" t="n">
        <v>3</v>
      </c>
      <c r="J23" s="15" t="n">
        <v>3</v>
      </c>
      <c r="K23" s="15" t="n">
        <f aca="false">IF(C23&gt;=50,1,0)</f>
        <v>1</v>
      </c>
      <c r="L23" s="17" t="n">
        <f aca="false">IF(H23="0 (checked)",2,IF(H23="Unverified",1,IF(H23="1 (checked)",0.5,0)))</f>
        <v>1</v>
      </c>
      <c r="M23" s="17" t="n">
        <f aca="false">I23+J23+K23+L23</f>
        <v>8</v>
      </c>
      <c r="N23" s="15" t="str">
        <f aca="false">IF(C23&lt;25,"Nano (&lt;$25M)",IF(C23&lt;100,"$25-100M",IF(C23&lt;250,"$100-250M","$250-500M")))</f>
        <v>$250-500M</v>
      </c>
    </row>
    <row r="24" customFormat="false" ht="23.85" hidden="false" customHeight="false" outlineLevel="0" collapsed="false">
      <c r="A24" s="12" t="s">
        <v>113</v>
      </c>
      <c r="B24" s="13" t="s">
        <v>114</v>
      </c>
      <c r="C24" s="14" t="n">
        <v>254.49</v>
      </c>
      <c r="D24" s="15" t="s">
        <v>28</v>
      </c>
      <c r="E24" s="13" t="s">
        <v>66</v>
      </c>
      <c r="F24" s="13" t="s">
        <v>67</v>
      </c>
      <c r="G24" s="13" t="s">
        <v>115</v>
      </c>
      <c r="H24" s="16" t="s">
        <v>63</v>
      </c>
      <c r="I24" s="15" t="n">
        <v>3</v>
      </c>
      <c r="J24" s="15" t="n">
        <v>3</v>
      </c>
      <c r="K24" s="15" t="n">
        <f aca="false">IF(C24&gt;=50,1,0)</f>
        <v>1</v>
      </c>
      <c r="L24" s="17" t="n">
        <f aca="false">IF(H24="0 (checked)",2,IF(H24="Unverified",1,IF(H24="1 (checked)",0.5,0)))</f>
        <v>1</v>
      </c>
      <c r="M24" s="17" t="n">
        <f aca="false">I24+J24+K24+L24</f>
        <v>8</v>
      </c>
      <c r="N24" s="15" t="str">
        <f aca="false">IF(C24&lt;25,"Nano (&lt;$25M)",IF(C24&lt;100,"$25-100M",IF(C24&lt;250,"$100-250M","$250-500M")))</f>
        <v>$250-500M</v>
      </c>
    </row>
    <row r="25" customFormat="false" ht="23.85" hidden="false" customHeight="false" outlineLevel="0" collapsed="false">
      <c r="A25" s="12" t="s">
        <v>116</v>
      </c>
      <c r="B25" s="13" t="s">
        <v>117</v>
      </c>
      <c r="C25" s="14" t="n">
        <v>253.83</v>
      </c>
      <c r="D25" s="15" t="s">
        <v>17</v>
      </c>
      <c r="E25" s="13" t="s">
        <v>71</v>
      </c>
      <c r="F25" s="13" t="s">
        <v>72</v>
      </c>
      <c r="G25" s="13"/>
      <c r="H25" s="16" t="s">
        <v>63</v>
      </c>
      <c r="I25" s="15" t="n">
        <v>3</v>
      </c>
      <c r="J25" s="15" t="n">
        <v>3</v>
      </c>
      <c r="K25" s="15" t="n">
        <f aca="false">IF(C25&gt;=50,1,0)</f>
        <v>1</v>
      </c>
      <c r="L25" s="17" t="n">
        <f aca="false">IF(H25="0 (checked)",2,IF(H25="Unverified",1,IF(H25="1 (checked)",0.5,0)))</f>
        <v>1</v>
      </c>
      <c r="M25" s="17" t="n">
        <f aca="false">I25+J25+K25+L25</f>
        <v>8</v>
      </c>
      <c r="N25" s="15" t="str">
        <f aca="false">IF(C25&lt;25,"Nano (&lt;$25M)",IF(C25&lt;100,"$25-100M",IF(C25&lt;250,"$100-250M","$250-500M")))</f>
        <v>$250-500M</v>
      </c>
    </row>
    <row r="26" customFormat="false" ht="23.85" hidden="false" customHeight="false" outlineLevel="0" collapsed="false">
      <c r="A26" s="12" t="s">
        <v>118</v>
      </c>
      <c r="B26" s="13" t="s">
        <v>119</v>
      </c>
      <c r="C26" s="14" t="n">
        <v>213.6</v>
      </c>
      <c r="D26" s="15" t="s">
        <v>15</v>
      </c>
      <c r="E26" s="13" t="s">
        <v>48</v>
      </c>
      <c r="F26" s="13" t="s">
        <v>49</v>
      </c>
      <c r="G26" s="13" t="s">
        <v>120</v>
      </c>
      <c r="H26" s="16" t="s">
        <v>63</v>
      </c>
      <c r="I26" s="15" t="n">
        <v>3</v>
      </c>
      <c r="J26" s="15" t="n">
        <v>3</v>
      </c>
      <c r="K26" s="15" t="n">
        <f aca="false">IF(C26&gt;=50,1,0)</f>
        <v>1</v>
      </c>
      <c r="L26" s="17" t="n">
        <f aca="false">IF(H26="0 (checked)",2,IF(H26="Unverified",1,IF(H26="1 (checked)",0.5,0)))</f>
        <v>1</v>
      </c>
      <c r="M26" s="17" t="n">
        <f aca="false">I26+J26+K26+L26</f>
        <v>8</v>
      </c>
      <c r="N26" s="15" t="str">
        <f aca="false">IF(C26&lt;25,"Nano (&lt;$25M)",IF(C26&lt;100,"$25-100M",IF(C26&lt;250,"$100-250M","$250-500M")))</f>
        <v>$100-250M</v>
      </c>
    </row>
    <row r="27" customFormat="false" ht="23.85" hidden="false" customHeight="false" outlineLevel="0" collapsed="false">
      <c r="A27" s="12" t="s">
        <v>121</v>
      </c>
      <c r="B27" s="13" t="s">
        <v>122</v>
      </c>
      <c r="C27" s="14" t="n">
        <v>187.44</v>
      </c>
      <c r="D27" s="15" t="s">
        <v>15</v>
      </c>
      <c r="E27" s="13" t="s">
        <v>48</v>
      </c>
      <c r="F27" s="13" t="s">
        <v>49</v>
      </c>
      <c r="G27" s="13" t="s">
        <v>123</v>
      </c>
      <c r="H27" s="16" t="s">
        <v>63</v>
      </c>
      <c r="I27" s="15" t="n">
        <v>3</v>
      </c>
      <c r="J27" s="15" t="n">
        <v>3</v>
      </c>
      <c r="K27" s="15" t="n">
        <f aca="false">IF(C27&gt;=50,1,0)</f>
        <v>1</v>
      </c>
      <c r="L27" s="17" t="n">
        <f aca="false">IF(H27="0 (checked)",2,IF(H27="Unverified",1,IF(H27="1 (checked)",0.5,0)))</f>
        <v>1</v>
      </c>
      <c r="M27" s="17" t="n">
        <f aca="false">I27+J27+K27+L27</f>
        <v>8</v>
      </c>
      <c r="N27" s="15" t="str">
        <f aca="false">IF(C27&lt;25,"Nano (&lt;$25M)",IF(C27&lt;100,"$25-100M",IF(C27&lt;250,"$100-250M","$250-500M")))</f>
        <v>$100-250M</v>
      </c>
    </row>
    <row r="28" customFormat="false" ht="23.85" hidden="false" customHeight="false" outlineLevel="0" collapsed="false">
      <c r="A28" s="12" t="s">
        <v>124</v>
      </c>
      <c r="B28" s="13" t="s">
        <v>125</v>
      </c>
      <c r="C28" s="14" t="n">
        <v>173.41</v>
      </c>
      <c r="D28" s="15" t="s">
        <v>17</v>
      </c>
      <c r="E28" s="13" t="s">
        <v>71</v>
      </c>
      <c r="F28" s="13" t="s">
        <v>72</v>
      </c>
      <c r="G28" s="13" t="s">
        <v>126</v>
      </c>
      <c r="H28" s="16" t="s">
        <v>63</v>
      </c>
      <c r="I28" s="15" t="n">
        <v>3</v>
      </c>
      <c r="J28" s="15" t="n">
        <v>3</v>
      </c>
      <c r="K28" s="15" t="n">
        <f aca="false">IF(C28&gt;=50,1,0)</f>
        <v>1</v>
      </c>
      <c r="L28" s="17" t="n">
        <f aca="false">IF(H28="0 (checked)",2,IF(H28="Unverified",1,IF(H28="1 (checked)",0.5,0)))</f>
        <v>1</v>
      </c>
      <c r="M28" s="17" t="n">
        <f aca="false">I28+J28+K28+L28</f>
        <v>8</v>
      </c>
      <c r="N28" s="15" t="str">
        <f aca="false">IF(C28&lt;25,"Nano (&lt;$25M)",IF(C28&lt;100,"$25-100M",IF(C28&lt;250,"$100-250M","$250-500M")))</f>
        <v>$100-250M</v>
      </c>
    </row>
    <row r="29" customFormat="false" ht="23.85" hidden="false" customHeight="false" outlineLevel="0" collapsed="false">
      <c r="A29" s="12" t="s">
        <v>127</v>
      </c>
      <c r="B29" s="13" t="s">
        <v>128</v>
      </c>
      <c r="C29" s="14" t="n">
        <v>171.85</v>
      </c>
      <c r="D29" s="15" t="s">
        <v>25</v>
      </c>
      <c r="E29" s="13" t="s">
        <v>75</v>
      </c>
      <c r="F29" s="13" t="s">
        <v>76</v>
      </c>
      <c r="G29" s="13" t="s">
        <v>129</v>
      </c>
      <c r="H29" s="16" t="s">
        <v>63</v>
      </c>
      <c r="I29" s="15" t="n">
        <v>3</v>
      </c>
      <c r="J29" s="15" t="n">
        <v>3</v>
      </c>
      <c r="K29" s="15" t="n">
        <f aca="false">IF(C29&gt;=50,1,0)</f>
        <v>1</v>
      </c>
      <c r="L29" s="17" t="n">
        <f aca="false">IF(H29="0 (checked)",2,IF(H29="Unverified",1,IF(H29="1 (checked)",0.5,0)))</f>
        <v>1</v>
      </c>
      <c r="M29" s="17" t="n">
        <f aca="false">I29+J29+K29+L29</f>
        <v>8</v>
      </c>
      <c r="N29" s="15" t="str">
        <f aca="false">IF(C29&lt;25,"Nano (&lt;$25M)",IF(C29&lt;100,"$25-100M",IF(C29&lt;250,"$100-250M","$250-500M")))</f>
        <v>$100-250M</v>
      </c>
    </row>
    <row r="30" customFormat="false" ht="23.85" hidden="false" customHeight="false" outlineLevel="0" collapsed="false">
      <c r="A30" s="12" t="s">
        <v>130</v>
      </c>
      <c r="B30" s="13" t="s">
        <v>131</v>
      </c>
      <c r="C30" s="14" t="n">
        <v>155.52</v>
      </c>
      <c r="D30" s="15" t="s">
        <v>17</v>
      </c>
      <c r="E30" s="13" t="s">
        <v>71</v>
      </c>
      <c r="F30" s="13" t="s">
        <v>72</v>
      </c>
      <c r="G30" s="13" t="s">
        <v>132</v>
      </c>
      <c r="H30" s="16" t="s">
        <v>63</v>
      </c>
      <c r="I30" s="15" t="n">
        <v>3</v>
      </c>
      <c r="J30" s="15" t="n">
        <v>3</v>
      </c>
      <c r="K30" s="15" t="n">
        <f aca="false">IF(C30&gt;=50,1,0)</f>
        <v>1</v>
      </c>
      <c r="L30" s="17" t="n">
        <f aca="false">IF(H30="0 (checked)",2,IF(H30="Unverified",1,IF(H30="1 (checked)",0.5,0)))</f>
        <v>1</v>
      </c>
      <c r="M30" s="17" t="n">
        <f aca="false">I30+J30+K30+L30</f>
        <v>8</v>
      </c>
      <c r="N30" s="15" t="str">
        <f aca="false">IF(C30&lt;25,"Nano (&lt;$25M)",IF(C30&lt;100,"$25-100M",IF(C30&lt;250,"$100-250M","$250-500M")))</f>
        <v>$100-250M</v>
      </c>
    </row>
    <row r="31" customFormat="false" ht="23.85" hidden="false" customHeight="false" outlineLevel="0" collapsed="false">
      <c r="A31" s="12" t="s">
        <v>133</v>
      </c>
      <c r="B31" s="13" t="s">
        <v>134</v>
      </c>
      <c r="C31" s="14" t="n">
        <v>152.09</v>
      </c>
      <c r="D31" s="15" t="s">
        <v>15</v>
      </c>
      <c r="E31" s="13" t="s">
        <v>48</v>
      </c>
      <c r="F31" s="13" t="s">
        <v>49</v>
      </c>
      <c r="G31" s="13" t="s">
        <v>135</v>
      </c>
      <c r="H31" s="16" t="s">
        <v>63</v>
      </c>
      <c r="I31" s="15" t="n">
        <v>3</v>
      </c>
      <c r="J31" s="15" t="n">
        <v>3</v>
      </c>
      <c r="K31" s="15" t="n">
        <f aca="false">IF(C31&gt;=50,1,0)</f>
        <v>1</v>
      </c>
      <c r="L31" s="17" t="n">
        <f aca="false">IF(H31="0 (checked)",2,IF(H31="Unverified",1,IF(H31="1 (checked)",0.5,0)))</f>
        <v>1</v>
      </c>
      <c r="M31" s="17" t="n">
        <f aca="false">I31+J31+K31+L31</f>
        <v>8</v>
      </c>
      <c r="N31" s="15" t="str">
        <f aca="false">IF(C31&lt;25,"Nano (&lt;$25M)",IF(C31&lt;100,"$25-100M",IF(C31&lt;250,"$100-250M","$250-500M")))</f>
        <v>$100-250M</v>
      </c>
    </row>
    <row r="32" customFormat="false" ht="23.85" hidden="false" customHeight="false" outlineLevel="0" collapsed="false">
      <c r="A32" s="12" t="s">
        <v>136</v>
      </c>
      <c r="B32" s="13" t="s">
        <v>137</v>
      </c>
      <c r="C32" s="14" t="n">
        <v>133.8</v>
      </c>
      <c r="D32" s="15" t="s">
        <v>17</v>
      </c>
      <c r="E32" s="13" t="s">
        <v>71</v>
      </c>
      <c r="F32" s="13" t="s">
        <v>72</v>
      </c>
      <c r="G32" s="13" t="s">
        <v>138</v>
      </c>
      <c r="H32" s="16" t="s">
        <v>63</v>
      </c>
      <c r="I32" s="15" t="n">
        <v>3</v>
      </c>
      <c r="J32" s="15" t="n">
        <v>3</v>
      </c>
      <c r="K32" s="15" t="n">
        <f aca="false">IF(C32&gt;=50,1,0)</f>
        <v>1</v>
      </c>
      <c r="L32" s="17" t="n">
        <f aca="false">IF(H32="0 (checked)",2,IF(H32="Unverified",1,IF(H32="1 (checked)",0.5,0)))</f>
        <v>1</v>
      </c>
      <c r="M32" s="17" t="n">
        <f aca="false">I32+J32+K32+L32</f>
        <v>8</v>
      </c>
      <c r="N32" s="15" t="str">
        <f aca="false">IF(C32&lt;25,"Nano (&lt;$25M)",IF(C32&lt;100,"$25-100M",IF(C32&lt;250,"$100-250M","$250-500M")))</f>
        <v>$100-250M</v>
      </c>
    </row>
    <row r="33" customFormat="false" ht="23.85" hidden="false" customHeight="false" outlineLevel="0" collapsed="false">
      <c r="A33" s="12" t="s">
        <v>139</v>
      </c>
      <c r="B33" s="13" t="s">
        <v>140</v>
      </c>
      <c r="C33" s="14" t="n">
        <v>118.82</v>
      </c>
      <c r="D33" s="15" t="s">
        <v>25</v>
      </c>
      <c r="E33" s="13" t="s">
        <v>75</v>
      </c>
      <c r="F33" s="13" t="s">
        <v>76</v>
      </c>
      <c r="G33" s="13" t="s">
        <v>141</v>
      </c>
      <c r="H33" s="16" t="s">
        <v>63</v>
      </c>
      <c r="I33" s="15" t="n">
        <v>3</v>
      </c>
      <c r="J33" s="15" t="n">
        <v>3</v>
      </c>
      <c r="K33" s="15" t="n">
        <f aca="false">IF(C33&gt;=50,1,0)</f>
        <v>1</v>
      </c>
      <c r="L33" s="17" t="n">
        <f aca="false">IF(H33="0 (checked)",2,IF(H33="Unverified",1,IF(H33="1 (checked)",0.5,0)))</f>
        <v>1</v>
      </c>
      <c r="M33" s="17" t="n">
        <f aca="false">I33+J33+K33+L33</f>
        <v>8</v>
      </c>
      <c r="N33" s="15" t="str">
        <f aca="false">IF(C33&lt;25,"Nano (&lt;$25M)",IF(C33&lt;100,"$25-100M",IF(C33&lt;250,"$100-250M","$250-500M")))</f>
        <v>$100-250M</v>
      </c>
    </row>
    <row r="34" customFormat="false" ht="23.85" hidden="false" customHeight="false" outlineLevel="0" collapsed="false">
      <c r="A34" s="12" t="s">
        <v>142</v>
      </c>
      <c r="B34" s="13" t="s">
        <v>143</v>
      </c>
      <c r="C34" s="14" t="n">
        <v>107.56</v>
      </c>
      <c r="D34" s="15" t="s">
        <v>17</v>
      </c>
      <c r="E34" s="13" t="s">
        <v>71</v>
      </c>
      <c r="F34" s="13" t="s">
        <v>72</v>
      </c>
      <c r="G34" s="13"/>
      <c r="H34" s="16" t="s">
        <v>63</v>
      </c>
      <c r="I34" s="15" t="n">
        <v>3</v>
      </c>
      <c r="J34" s="15" t="n">
        <v>3</v>
      </c>
      <c r="K34" s="15" t="n">
        <f aca="false">IF(C34&gt;=50,1,0)</f>
        <v>1</v>
      </c>
      <c r="L34" s="17" t="n">
        <f aca="false">IF(H34="0 (checked)",2,IF(H34="Unverified",1,IF(H34="1 (checked)",0.5,0)))</f>
        <v>1</v>
      </c>
      <c r="M34" s="17" t="n">
        <f aca="false">I34+J34+K34+L34</f>
        <v>8</v>
      </c>
      <c r="N34" s="15" t="str">
        <f aca="false">IF(C34&lt;25,"Nano (&lt;$25M)",IF(C34&lt;100,"$25-100M",IF(C34&lt;250,"$100-250M","$250-500M")))</f>
        <v>$100-250M</v>
      </c>
    </row>
    <row r="35" customFormat="false" ht="23.85" hidden="false" customHeight="false" outlineLevel="0" collapsed="false">
      <c r="A35" s="12" t="s">
        <v>144</v>
      </c>
      <c r="B35" s="13" t="s">
        <v>145</v>
      </c>
      <c r="C35" s="14" t="n">
        <v>102.03</v>
      </c>
      <c r="D35" s="15" t="s">
        <v>15</v>
      </c>
      <c r="E35" s="13" t="s">
        <v>48</v>
      </c>
      <c r="F35" s="13" t="s">
        <v>49</v>
      </c>
      <c r="G35" s="13" t="s">
        <v>146</v>
      </c>
      <c r="H35" s="16" t="s">
        <v>63</v>
      </c>
      <c r="I35" s="15" t="n">
        <v>3</v>
      </c>
      <c r="J35" s="15" t="n">
        <v>3</v>
      </c>
      <c r="K35" s="15" t="n">
        <f aca="false">IF(C35&gt;=50,1,0)</f>
        <v>1</v>
      </c>
      <c r="L35" s="17" t="n">
        <f aca="false">IF(H35="0 (checked)",2,IF(H35="Unverified",1,IF(H35="1 (checked)",0.5,0)))</f>
        <v>1</v>
      </c>
      <c r="M35" s="17" t="n">
        <f aca="false">I35+J35+K35+L35</f>
        <v>8</v>
      </c>
      <c r="N35" s="15" t="str">
        <f aca="false">IF(C35&lt;25,"Nano (&lt;$25M)",IF(C35&lt;100,"$25-100M",IF(C35&lt;250,"$100-250M","$250-500M")))</f>
        <v>$100-250M</v>
      </c>
    </row>
    <row r="36" customFormat="false" ht="23.85" hidden="false" customHeight="false" outlineLevel="0" collapsed="false">
      <c r="A36" s="12" t="s">
        <v>147</v>
      </c>
      <c r="B36" s="13" t="s">
        <v>148</v>
      </c>
      <c r="C36" s="14" t="n">
        <v>99.62</v>
      </c>
      <c r="D36" s="15" t="s">
        <v>25</v>
      </c>
      <c r="E36" s="13" t="s">
        <v>75</v>
      </c>
      <c r="F36" s="13" t="s">
        <v>76</v>
      </c>
      <c r="G36" s="13" t="s">
        <v>149</v>
      </c>
      <c r="H36" s="16" t="s">
        <v>63</v>
      </c>
      <c r="I36" s="15" t="n">
        <v>3</v>
      </c>
      <c r="J36" s="15" t="n">
        <v>3</v>
      </c>
      <c r="K36" s="15" t="n">
        <f aca="false">IF(C36&gt;=50,1,0)</f>
        <v>1</v>
      </c>
      <c r="L36" s="17" t="n">
        <f aca="false">IF(H36="0 (checked)",2,IF(H36="Unverified",1,IF(H36="1 (checked)",0.5,0)))</f>
        <v>1</v>
      </c>
      <c r="M36" s="17" t="n">
        <f aca="false">I36+J36+K36+L36</f>
        <v>8</v>
      </c>
      <c r="N36" s="15" t="str">
        <f aca="false">IF(C36&lt;25,"Nano (&lt;$25M)",IF(C36&lt;100,"$25-100M",IF(C36&lt;250,"$100-250M","$250-500M")))</f>
        <v>$25-100M</v>
      </c>
    </row>
    <row r="37" customFormat="false" ht="23.85" hidden="false" customHeight="false" outlineLevel="0" collapsed="false">
      <c r="A37" s="12" t="s">
        <v>150</v>
      </c>
      <c r="B37" s="13" t="s">
        <v>151</v>
      </c>
      <c r="C37" s="14" t="n">
        <v>88.43</v>
      </c>
      <c r="D37" s="15" t="s">
        <v>15</v>
      </c>
      <c r="E37" s="13" t="s">
        <v>48</v>
      </c>
      <c r="F37" s="13" t="s">
        <v>49</v>
      </c>
      <c r="G37" s="13" t="s">
        <v>152</v>
      </c>
      <c r="H37" s="16" t="s">
        <v>63</v>
      </c>
      <c r="I37" s="15" t="n">
        <v>3</v>
      </c>
      <c r="J37" s="15" t="n">
        <v>3</v>
      </c>
      <c r="K37" s="15" t="n">
        <f aca="false">IF(C37&gt;=50,1,0)</f>
        <v>1</v>
      </c>
      <c r="L37" s="17" t="n">
        <f aca="false">IF(H37="0 (checked)",2,IF(H37="Unverified",1,IF(H37="1 (checked)",0.5,0)))</f>
        <v>1</v>
      </c>
      <c r="M37" s="17" t="n">
        <f aca="false">I37+J37+K37+L37</f>
        <v>8</v>
      </c>
      <c r="N37" s="15" t="str">
        <f aca="false">IF(C37&lt;25,"Nano (&lt;$25M)",IF(C37&lt;100,"$25-100M",IF(C37&lt;250,"$100-250M","$250-500M")))</f>
        <v>$25-100M</v>
      </c>
    </row>
    <row r="38" customFormat="false" ht="23.85" hidden="false" customHeight="false" outlineLevel="0" collapsed="false">
      <c r="A38" s="12" t="s">
        <v>153</v>
      </c>
      <c r="B38" s="13" t="s">
        <v>154</v>
      </c>
      <c r="C38" s="14" t="n">
        <v>68.57</v>
      </c>
      <c r="D38" s="15" t="s">
        <v>19</v>
      </c>
      <c r="E38" s="13" t="s">
        <v>155</v>
      </c>
      <c r="F38" s="13" t="s">
        <v>156</v>
      </c>
      <c r="G38" s="13" t="s">
        <v>157</v>
      </c>
      <c r="H38" s="16" t="s">
        <v>51</v>
      </c>
      <c r="I38" s="15" t="n">
        <v>2</v>
      </c>
      <c r="J38" s="15" t="n">
        <v>3</v>
      </c>
      <c r="K38" s="15" t="n">
        <f aca="false">IF(C38&gt;=50,1,0)</f>
        <v>1</v>
      </c>
      <c r="L38" s="17" t="n">
        <f aca="false">IF(H38="0 (checked)",2,IF(H38="Unverified",1,IF(H38="1 (checked)",0.5,0)))</f>
        <v>2</v>
      </c>
      <c r="M38" s="17" t="n">
        <f aca="false">I38+J38+K38+L38</f>
        <v>8</v>
      </c>
      <c r="N38" s="15" t="str">
        <f aca="false">IF(C38&lt;25,"Nano (&lt;$25M)",IF(C38&lt;100,"$25-100M",IF(C38&lt;250,"$100-250M","$250-500M")))</f>
        <v>$25-100M</v>
      </c>
    </row>
    <row r="39" customFormat="false" ht="23.85" hidden="false" customHeight="false" outlineLevel="0" collapsed="false">
      <c r="A39" s="12" t="s">
        <v>158</v>
      </c>
      <c r="B39" s="13" t="s">
        <v>159</v>
      </c>
      <c r="C39" s="14" t="n">
        <v>61.38</v>
      </c>
      <c r="D39" s="15" t="s">
        <v>25</v>
      </c>
      <c r="E39" s="13" t="s">
        <v>75</v>
      </c>
      <c r="F39" s="13" t="s">
        <v>76</v>
      </c>
      <c r="G39" s="13" t="s">
        <v>160</v>
      </c>
      <c r="H39" s="16" t="s">
        <v>63</v>
      </c>
      <c r="I39" s="15" t="n">
        <v>3</v>
      </c>
      <c r="J39" s="15" t="n">
        <v>3</v>
      </c>
      <c r="K39" s="15" t="n">
        <f aca="false">IF(C39&gt;=50,1,0)</f>
        <v>1</v>
      </c>
      <c r="L39" s="17" t="n">
        <f aca="false">IF(H39="0 (checked)",2,IF(H39="Unverified",1,IF(H39="1 (checked)",0.5,0)))</f>
        <v>1</v>
      </c>
      <c r="M39" s="17" t="n">
        <f aca="false">I39+J39+K39+L39</f>
        <v>8</v>
      </c>
      <c r="N39" s="15" t="str">
        <f aca="false">IF(C39&lt;25,"Nano (&lt;$25M)",IF(C39&lt;100,"$25-100M",IF(C39&lt;250,"$100-250M","$250-500M")))</f>
        <v>$25-100M</v>
      </c>
    </row>
    <row r="40" customFormat="false" ht="23.85" hidden="false" customHeight="false" outlineLevel="0" collapsed="false">
      <c r="A40" s="12" t="s">
        <v>161</v>
      </c>
      <c r="B40" s="13" t="s">
        <v>162</v>
      </c>
      <c r="C40" s="14" t="n">
        <v>50.94</v>
      </c>
      <c r="D40" s="15" t="s">
        <v>21</v>
      </c>
      <c r="E40" s="13" t="s">
        <v>57</v>
      </c>
      <c r="F40" s="13" t="s">
        <v>58</v>
      </c>
      <c r="G40" s="13" t="s">
        <v>163</v>
      </c>
      <c r="H40" s="16" t="s">
        <v>63</v>
      </c>
      <c r="I40" s="15" t="n">
        <v>3</v>
      </c>
      <c r="J40" s="15" t="n">
        <v>3</v>
      </c>
      <c r="K40" s="15" t="n">
        <f aca="false">IF(C40&gt;=50,1,0)</f>
        <v>1</v>
      </c>
      <c r="L40" s="17" t="n">
        <f aca="false">IF(H40="0 (checked)",2,IF(H40="Unverified",1,IF(H40="1 (checked)",0.5,0)))</f>
        <v>1</v>
      </c>
      <c r="M40" s="17" t="n">
        <f aca="false">I40+J40+K40+L40</f>
        <v>8</v>
      </c>
      <c r="N40" s="15" t="str">
        <f aca="false">IF(C40&lt;25,"Nano (&lt;$25M)",IF(C40&lt;100,"$25-100M",IF(C40&lt;250,"$100-250M","$250-500M")))</f>
        <v>$25-100M</v>
      </c>
    </row>
    <row r="41" customFormat="false" ht="23.85" hidden="false" customHeight="false" outlineLevel="0" collapsed="false">
      <c r="A41" s="12" t="s">
        <v>164</v>
      </c>
      <c r="B41" s="13" t="s">
        <v>165</v>
      </c>
      <c r="C41" s="14" t="n">
        <v>10.51</v>
      </c>
      <c r="D41" s="15" t="s">
        <v>15</v>
      </c>
      <c r="E41" s="13" t="s">
        <v>48</v>
      </c>
      <c r="F41" s="13" t="s">
        <v>49</v>
      </c>
      <c r="G41" s="13" t="s">
        <v>166</v>
      </c>
      <c r="H41" s="16" t="s">
        <v>51</v>
      </c>
      <c r="I41" s="15" t="n">
        <v>3</v>
      </c>
      <c r="J41" s="15" t="n">
        <v>3</v>
      </c>
      <c r="K41" s="15" t="n">
        <f aca="false">IF(C41&gt;=50,1,0)</f>
        <v>0</v>
      </c>
      <c r="L41" s="17" t="n">
        <f aca="false">IF(H41="0 (checked)",2,IF(H41="Unverified",1,IF(H41="1 (checked)",0.5,0)))</f>
        <v>2</v>
      </c>
      <c r="M41" s="17" t="n">
        <f aca="false">I41+J41+K41+L41</f>
        <v>8</v>
      </c>
      <c r="N41" s="15" t="str">
        <f aca="false">IF(C41&lt;25,"Nano (&lt;$25M)",IF(C41&lt;100,"$25-100M",IF(C41&lt;250,"$100-250M","$250-500M")))</f>
        <v>Nano (&lt;$25M)</v>
      </c>
    </row>
    <row r="42" customFormat="false" ht="23.85" hidden="false" customHeight="false" outlineLevel="0" collapsed="false">
      <c r="A42" s="12" t="s">
        <v>167</v>
      </c>
      <c r="B42" s="13" t="s">
        <v>168</v>
      </c>
      <c r="C42" s="14" t="n">
        <v>108.14</v>
      </c>
      <c r="D42" s="15" t="s">
        <v>15</v>
      </c>
      <c r="E42" s="13" t="s">
        <v>48</v>
      </c>
      <c r="F42" s="13" t="s">
        <v>49</v>
      </c>
      <c r="G42" s="13" t="s">
        <v>169</v>
      </c>
      <c r="H42" s="16" t="s">
        <v>170</v>
      </c>
      <c r="I42" s="15" t="n">
        <v>3</v>
      </c>
      <c r="J42" s="15" t="n">
        <v>3</v>
      </c>
      <c r="K42" s="15" t="n">
        <f aca="false">IF(C42&gt;=50,1,0)</f>
        <v>1</v>
      </c>
      <c r="L42" s="17" t="n">
        <f aca="false">IF(H42="0 (checked)",2,IF(H42="Unverified",1,IF(H42="1 (checked)",0.5,0)))</f>
        <v>0.5</v>
      </c>
      <c r="M42" s="17" t="n">
        <f aca="false">I42+J42+K42+L42</f>
        <v>7.5</v>
      </c>
      <c r="N42" s="15" t="str">
        <f aca="false">IF(C42&lt;25,"Nano (&lt;$25M)",IF(C42&lt;100,"$25-100M",IF(C42&lt;250,"$100-250M","$250-500M")))</f>
        <v>$100-250M</v>
      </c>
    </row>
    <row r="43" customFormat="false" ht="35.05" hidden="false" customHeight="false" outlineLevel="0" collapsed="false">
      <c r="A43" s="12" t="s">
        <v>171</v>
      </c>
      <c r="B43" s="13" t="s">
        <v>172</v>
      </c>
      <c r="C43" s="14" t="n">
        <v>497.68</v>
      </c>
      <c r="D43" s="15" t="s">
        <v>12</v>
      </c>
      <c r="E43" s="13" t="s">
        <v>173</v>
      </c>
      <c r="F43" s="13" t="s">
        <v>174</v>
      </c>
      <c r="G43" s="13"/>
      <c r="H43" s="16" t="s">
        <v>63</v>
      </c>
      <c r="I43" s="15" t="n">
        <v>2</v>
      </c>
      <c r="J43" s="15" t="n">
        <v>3</v>
      </c>
      <c r="K43" s="15" t="n">
        <f aca="false">IF(C43&gt;=50,1,0)</f>
        <v>1</v>
      </c>
      <c r="L43" s="17" t="n">
        <f aca="false">IF(H43="0 (checked)",2,IF(H43="Unverified",1,IF(H43="1 (checked)",0.5,0)))</f>
        <v>1</v>
      </c>
      <c r="M43" s="17" t="n">
        <f aca="false">I43+J43+K43+L43</f>
        <v>7</v>
      </c>
      <c r="N43" s="15" t="str">
        <f aca="false">IF(C43&lt;25,"Nano (&lt;$25M)",IF(C43&lt;100,"$25-100M",IF(C43&lt;250,"$100-250M","$250-500M")))</f>
        <v>$250-500M</v>
      </c>
    </row>
    <row r="44" customFormat="false" ht="35.05" hidden="false" customHeight="false" outlineLevel="0" collapsed="false">
      <c r="A44" s="12" t="s">
        <v>175</v>
      </c>
      <c r="B44" s="13" t="s">
        <v>176</v>
      </c>
      <c r="C44" s="14" t="n">
        <v>494.16</v>
      </c>
      <c r="D44" s="15" t="s">
        <v>12</v>
      </c>
      <c r="E44" s="13" t="s">
        <v>173</v>
      </c>
      <c r="F44" s="13" t="s">
        <v>174</v>
      </c>
      <c r="G44" s="13"/>
      <c r="H44" s="16" t="s">
        <v>63</v>
      </c>
      <c r="I44" s="15" t="n">
        <v>2</v>
      </c>
      <c r="J44" s="15" t="n">
        <v>3</v>
      </c>
      <c r="K44" s="15" t="n">
        <f aca="false">IF(C44&gt;=50,1,0)</f>
        <v>1</v>
      </c>
      <c r="L44" s="17" t="n">
        <f aca="false">IF(H44="0 (checked)",2,IF(H44="Unverified",1,IF(H44="1 (checked)",0.5,0)))</f>
        <v>1</v>
      </c>
      <c r="M44" s="17" t="n">
        <f aca="false">I44+J44+K44+L44</f>
        <v>7</v>
      </c>
      <c r="N44" s="15" t="str">
        <f aca="false">IF(C44&lt;25,"Nano (&lt;$25M)",IF(C44&lt;100,"$25-100M",IF(C44&lt;250,"$100-250M","$250-500M")))</f>
        <v>$250-500M</v>
      </c>
    </row>
    <row r="45" customFormat="false" ht="35.05" hidden="false" customHeight="false" outlineLevel="0" collapsed="false">
      <c r="A45" s="12" t="s">
        <v>177</v>
      </c>
      <c r="B45" s="13" t="s">
        <v>178</v>
      </c>
      <c r="C45" s="14" t="n">
        <v>481.88</v>
      </c>
      <c r="D45" s="15" t="s">
        <v>12</v>
      </c>
      <c r="E45" s="13" t="s">
        <v>173</v>
      </c>
      <c r="F45" s="13" t="s">
        <v>174</v>
      </c>
      <c r="G45" s="13"/>
      <c r="H45" s="16" t="s">
        <v>63</v>
      </c>
      <c r="I45" s="15" t="n">
        <v>2</v>
      </c>
      <c r="J45" s="15" t="n">
        <v>3</v>
      </c>
      <c r="K45" s="15" t="n">
        <f aca="false">IF(C45&gt;=50,1,0)</f>
        <v>1</v>
      </c>
      <c r="L45" s="17" t="n">
        <f aca="false">IF(H45="0 (checked)",2,IF(H45="Unverified",1,IF(H45="1 (checked)",0.5,0)))</f>
        <v>1</v>
      </c>
      <c r="M45" s="17" t="n">
        <f aca="false">I45+J45+K45+L45</f>
        <v>7</v>
      </c>
      <c r="N45" s="15" t="str">
        <f aca="false">IF(C45&lt;25,"Nano (&lt;$25M)",IF(C45&lt;100,"$25-100M",IF(C45&lt;250,"$100-250M","$250-500M")))</f>
        <v>$250-500M</v>
      </c>
    </row>
    <row r="46" customFormat="false" ht="35.05" hidden="false" customHeight="false" outlineLevel="0" collapsed="false">
      <c r="A46" s="12" t="s">
        <v>179</v>
      </c>
      <c r="B46" s="13" t="s">
        <v>180</v>
      </c>
      <c r="C46" s="14" t="n">
        <v>465.05</v>
      </c>
      <c r="D46" s="15" t="s">
        <v>12</v>
      </c>
      <c r="E46" s="13" t="s">
        <v>173</v>
      </c>
      <c r="F46" s="13" t="s">
        <v>174</v>
      </c>
      <c r="G46" s="13"/>
      <c r="H46" s="16" t="s">
        <v>63</v>
      </c>
      <c r="I46" s="15" t="n">
        <v>2</v>
      </c>
      <c r="J46" s="15" t="n">
        <v>3</v>
      </c>
      <c r="K46" s="15" t="n">
        <f aca="false">IF(C46&gt;=50,1,0)</f>
        <v>1</v>
      </c>
      <c r="L46" s="17" t="n">
        <f aca="false">IF(H46="0 (checked)",2,IF(H46="Unverified",1,IF(H46="1 (checked)",0.5,0)))</f>
        <v>1</v>
      </c>
      <c r="M46" s="17" t="n">
        <f aca="false">I46+J46+K46+L46</f>
        <v>7</v>
      </c>
      <c r="N46" s="15" t="str">
        <f aca="false">IF(C46&lt;25,"Nano (&lt;$25M)",IF(C46&lt;100,"$25-100M",IF(C46&lt;250,"$100-250M","$250-500M")))</f>
        <v>$250-500M</v>
      </c>
    </row>
    <row r="47" customFormat="false" ht="35.05" hidden="false" customHeight="false" outlineLevel="0" collapsed="false">
      <c r="A47" s="12" t="s">
        <v>181</v>
      </c>
      <c r="B47" s="13" t="s">
        <v>182</v>
      </c>
      <c r="C47" s="14" t="n">
        <v>464.47</v>
      </c>
      <c r="D47" s="15" t="s">
        <v>12</v>
      </c>
      <c r="E47" s="13" t="s">
        <v>173</v>
      </c>
      <c r="F47" s="13" t="s">
        <v>174</v>
      </c>
      <c r="G47" s="13"/>
      <c r="H47" s="16" t="s">
        <v>63</v>
      </c>
      <c r="I47" s="15" t="n">
        <v>2</v>
      </c>
      <c r="J47" s="15" t="n">
        <v>3</v>
      </c>
      <c r="K47" s="15" t="n">
        <f aca="false">IF(C47&gt;=50,1,0)</f>
        <v>1</v>
      </c>
      <c r="L47" s="17" t="n">
        <f aca="false">IF(H47="0 (checked)",2,IF(H47="Unverified",1,IF(H47="1 (checked)",0.5,0)))</f>
        <v>1</v>
      </c>
      <c r="M47" s="17" t="n">
        <f aca="false">I47+J47+K47+L47</f>
        <v>7</v>
      </c>
      <c r="N47" s="15" t="str">
        <f aca="false">IF(C47&lt;25,"Nano (&lt;$25M)",IF(C47&lt;100,"$25-100M",IF(C47&lt;250,"$100-250M","$250-500M")))</f>
        <v>$250-500M</v>
      </c>
    </row>
    <row r="48" customFormat="false" ht="35.05" hidden="false" customHeight="false" outlineLevel="0" collapsed="false">
      <c r="A48" s="12" t="s">
        <v>183</v>
      </c>
      <c r="B48" s="13" t="s">
        <v>184</v>
      </c>
      <c r="C48" s="14" t="n">
        <v>455.4</v>
      </c>
      <c r="D48" s="15" t="s">
        <v>12</v>
      </c>
      <c r="E48" s="13" t="s">
        <v>173</v>
      </c>
      <c r="F48" s="13" t="s">
        <v>174</v>
      </c>
      <c r="G48" s="13"/>
      <c r="H48" s="16" t="s">
        <v>63</v>
      </c>
      <c r="I48" s="15" t="n">
        <v>2</v>
      </c>
      <c r="J48" s="15" t="n">
        <v>3</v>
      </c>
      <c r="K48" s="15" t="n">
        <f aca="false">IF(C48&gt;=50,1,0)</f>
        <v>1</v>
      </c>
      <c r="L48" s="17" t="n">
        <f aca="false">IF(H48="0 (checked)",2,IF(H48="Unverified",1,IF(H48="1 (checked)",0.5,0)))</f>
        <v>1</v>
      </c>
      <c r="M48" s="17" t="n">
        <f aca="false">I48+J48+K48+L48</f>
        <v>7</v>
      </c>
      <c r="N48" s="15" t="str">
        <f aca="false">IF(C48&lt;25,"Nano (&lt;$25M)",IF(C48&lt;100,"$25-100M",IF(C48&lt;250,"$100-250M","$250-500M")))</f>
        <v>$250-500M</v>
      </c>
    </row>
    <row r="49" customFormat="false" ht="23.85" hidden="false" customHeight="false" outlineLevel="0" collapsed="false">
      <c r="A49" s="12" t="s">
        <v>185</v>
      </c>
      <c r="B49" s="13" t="s">
        <v>186</v>
      </c>
      <c r="C49" s="14" t="n">
        <v>452.2</v>
      </c>
      <c r="D49" s="15" t="s">
        <v>13</v>
      </c>
      <c r="E49" s="13" t="s">
        <v>108</v>
      </c>
      <c r="F49" s="13" t="s">
        <v>109</v>
      </c>
      <c r="G49" s="13" t="s">
        <v>187</v>
      </c>
      <c r="H49" s="16" t="s">
        <v>63</v>
      </c>
      <c r="I49" s="15" t="n">
        <v>3</v>
      </c>
      <c r="J49" s="15" t="n">
        <v>2</v>
      </c>
      <c r="K49" s="15" t="n">
        <f aca="false">IF(C49&gt;=50,1,0)</f>
        <v>1</v>
      </c>
      <c r="L49" s="17" t="n">
        <f aca="false">IF(H49="0 (checked)",2,IF(H49="Unverified",1,IF(H49="1 (checked)",0.5,0)))</f>
        <v>1</v>
      </c>
      <c r="M49" s="17" t="n">
        <f aca="false">I49+J49+K49+L49</f>
        <v>7</v>
      </c>
      <c r="N49" s="15" t="str">
        <f aca="false">IF(C49&lt;25,"Nano (&lt;$25M)",IF(C49&lt;100,"$25-100M",IF(C49&lt;250,"$100-250M","$250-500M")))</f>
        <v>$250-500M</v>
      </c>
    </row>
    <row r="50" customFormat="false" ht="35.05" hidden="false" customHeight="false" outlineLevel="0" collapsed="false">
      <c r="A50" s="12" t="s">
        <v>188</v>
      </c>
      <c r="B50" s="13" t="s">
        <v>189</v>
      </c>
      <c r="C50" s="14" t="n">
        <v>451.32</v>
      </c>
      <c r="D50" s="15" t="s">
        <v>12</v>
      </c>
      <c r="E50" s="13" t="s">
        <v>173</v>
      </c>
      <c r="F50" s="13" t="s">
        <v>174</v>
      </c>
      <c r="G50" s="13"/>
      <c r="H50" s="16" t="s">
        <v>63</v>
      </c>
      <c r="I50" s="15" t="n">
        <v>2</v>
      </c>
      <c r="J50" s="15" t="n">
        <v>3</v>
      </c>
      <c r="K50" s="15" t="n">
        <f aca="false">IF(C50&gt;=50,1,0)</f>
        <v>1</v>
      </c>
      <c r="L50" s="17" t="n">
        <f aca="false">IF(H50="0 (checked)",2,IF(H50="Unverified",1,IF(H50="1 (checked)",0.5,0)))</f>
        <v>1</v>
      </c>
      <c r="M50" s="17" t="n">
        <f aca="false">I50+J50+K50+L50</f>
        <v>7</v>
      </c>
      <c r="N50" s="15" t="str">
        <f aca="false">IF(C50&lt;25,"Nano (&lt;$25M)",IF(C50&lt;100,"$25-100M",IF(C50&lt;250,"$100-250M","$250-500M")))</f>
        <v>$250-500M</v>
      </c>
    </row>
    <row r="51" customFormat="false" ht="35.05" hidden="false" customHeight="false" outlineLevel="0" collapsed="false">
      <c r="A51" s="12" t="s">
        <v>190</v>
      </c>
      <c r="B51" s="13" t="s">
        <v>191</v>
      </c>
      <c r="C51" s="14" t="n">
        <v>444.33</v>
      </c>
      <c r="D51" s="15" t="s">
        <v>12</v>
      </c>
      <c r="E51" s="13" t="s">
        <v>173</v>
      </c>
      <c r="F51" s="13" t="s">
        <v>174</v>
      </c>
      <c r="G51" s="13"/>
      <c r="H51" s="16" t="s">
        <v>63</v>
      </c>
      <c r="I51" s="15" t="n">
        <v>2</v>
      </c>
      <c r="J51" s="15" t="n">
        <v>3</v>
      </c>
      <c r="K51" s="15" t="n">
        <f aca="false">IF(C51&gt;=50,1,0)</f>
        <v>1</v>
      </c>
      <c r="L51" s="17" t="n">
        <f aca="false">IF(H51="0 (checked)",2,IF(H51="Unverified",1,IF(H51="1 (checked)",0.5,0)))</f>
        <v>1</v>
      </c>
      <c r="M51" s="17" t="n">
        <f aca="false">I51+J51+K51+L51</f>
        <v>7</v>
      </c>
      <c r="N51" s="15" t="str">
        <f aca="false">IF(C51&lt;25,"Nano (&lt;$25M)",IF(C51&lt;100,"$25-100M",IF(C51&lt;250,"$100-250M","$250-500M")))</f>
        <v>$250-500M</v>
      </c>
    </row>
    <row r="52" customFormat="false" ht="23.85" hidden="false" customHeight="false" outlineLevel="0" collapsed="false">
      <c r="A52" s="12" t="s">
        <v>192</v>
      </c>
      <c r="B52" s="13" t="s">
        <v>193</v>
      </c>
      <c r="C52" s="14" t="n">
        <v>443.35</v>
      </c>
      <c r="D52" s="15" t="s">
        <v>13</v>
      </c>
      <c r="E52" s="13" t="s">
        <v>108</v>
      </c>
      <c r="F52" s="13" t="s">
        <v>109</v>
      </c>
      <c r="G52" s="13" t="s">
        <v>194</v>
      </c>
      <c r="H52" s="16" t="s">
        <v>63</v>
      </c>
      <c r="I52" s="15" t="n">
        <v>3</v>
      </c>
      <c r="J52" s="15" t="n">
        <v>2</v>
      </c>
      <c r="K52" s="15" t="n">
        <f aca="false">IF(C52&gt;=50,1,0)</f>
        <v>1</v>
      </c>
      <c r="L52" s="17" t="n">
        <f aca="false">IF(H52="0 (checked)",2,IF(H52="Unverified",1,IF(H52="1 (checked)",0.5,0)))</f>
        <v>1</v>
      </c>
      <c r="M52" s="17" t="n">
        <f aca="false">I52+J52+K52+L52</f>
        <v>7</v>
      </c>
      <c r="N52" s="15" t="str">
        <f aca="false">IF(C52&lt;25,"Nano (&lt;$25M)",IF(C52&lt;100,"$25-100M",IF(C52&lt;250,"$100-250M","$250-500M")))</f>
        <v>$250-500M</v>
      </c>
    </row>
    <row r="53" customFormat="false" ht="35.05" hidden="false" customHeight="false" outlineLevel="0" collapsed="false">
      <c r="A53" s="12" t="s">
        <v>195</v>
      </c>
      <c r="B53" s="13" t="s">
        <v>196</v>
      </c>
      <c r="C53" s="14" t="n">
        <v>443.18</v>
      </c>
      <c r="D53" s="15" t="s">
        <v>12</v>
      </c>
      <c r="E53" s="13" t="s">
        <v>173</v>
      </c>
      <c r="F53" s="13" t="s">
        <v>174</v>
      </c>
      <c r="G53" s="13"/>
      <c r="H53" s="16" t="s">
        <v>63</v>
      </c>
      <c r="I53" s="15" t="n">
        <v>2</v>
      </c>
      <c r="J53" s="15" t="n">
        <v>3</v>
      </c>
      <c r="K53" s="15" t="n">
        <f aca="false">IF(C53&gt;=50,1,0)</f>
        <v>1</v>
      </c>
      <c r="L53" s="17" t="n">
        <f aca="false">IF(H53="0 (checked)",2,IF(H53="Unverified",1,IF(H53="1 (checked)",0.5,0)))</f>
        <v>1</v>
      </c>
      <c r="M53" s="17" t="n">
        <f aca="false">I53+J53+K53+L53</f>
        <v>7</v>
      </c>
      <c r="N53" s="15" t="str">
        <f aca="false">IF(C53&lt;25,"Nano (&lt;$25M)",IF(C53&lt;100,"$25-100M",IF(C53&lt;250,"$100-250M","$250-500M")))</f>
        <v>$250-500M</v>
      </c>
    </row>
    <row r="54" customFormat="false" ht="35.05" hidden="false" customHeight="false" outlineLevel="0" collapsed="false">
      <c r="A54" s="12" t="s">
        <v>197</v>
      </c>
      <c r="B54" s="13" t="s">
        <v>198</v>
      </c>
      <c r="C54" s="14" t="n">
        <v>437.63</v>
      </c>
      <c r="D54" s="15" t="s">
        <v>12</v>
      </c>
      <c r="E54" s="13" t="s">
        <v>173</v>
      </c>
      <c r="F54" s="13" t="s">
        <v>174</v>
      </c>
      <c r="G54" s="13"/>
      <c r="H54" s="16" t="s">
        <v>63</v>
      </c>
      <c r="I54" s="15" t="n">
        <v>2</v>
      </c>
      <c r="J54" s="15" t="n">
        <v>3</v>
      </c>
      <c r="K54" s="15" t="n">
        <f aca="false">IF(C54&gt;=50,1,0)</f>
        <v>1</v>
      </c>
      <c r="L54" s="17" t="n">
        <f aca="false">IF(H54="0 (checked)",2,IF(H54="Unverified",1,IF(H54="1 (checked)",0.5,0)))</f>
        <v>1</v>
      </c>
      <c r="M54" s="17" t="n">
        <f aca="false">I54+J54+K54+L54</f>
        <v>7</v>
      </c>
      <c r="N54" s="15" t="str">
        <f aca="false">IF(C54&lt;25,"Nano (&lt;$25M)",IF(C54&lt;100,"$25-100M",IF(C54&lt;250,"$100-250M","$250-500M")))</f>
        <v>$250-500M</v>
      </c>
    </row>
    <row r="55" customFormat="false" ht="35.05" hidden="false" customHeight="false" outlineLevel="0" collapsed="false">
      <c r="A55" s="12" t="s">
        <v>199</v>
      </c>
      <c r="B55" s="13" t="s">
        <v>200</v>
      </c>
      <c r="C55" s="14" t="n">
        <v>434.8</v>
      </c>
      <c r="D55" s="15" t="s">
        <v>12</v>
      </c>
      <c r="E55" s="13" t="s">
        <v>173</v>
      </c>
      <c r="F55" s="13" t="s">
        <v>174</v>
      </c>
      <c r="G55" s="13"/>
      <c r="H55" s="16" t="s">
        <v>63</v>
      </c>
      <c r="I55" s="15" t="n">
        <v>2</v>
      </c>
      <c r="J55" s="15" t="n">
        <v>3</v>
      </c>
      <c r="K55" s="15" t="n">
        <f aca="false">IF(C55&gt;=50,1,0)</f>
        <v>1</v>
      </c>
      <c r="L55" s="17" t="n">
        <f aca="false">IF(H55="0 (checked)",2,IF(H55="Unverified",1,IF(H55="1 (checked)",0.5,0)))</f>
        <v>1</v>
      </c>
      <c r="M55" s="17" t="n">
        <f aca="false">I55+J55+K55+L55</f>
        <v>7</v>
      </c>
      <c r="N55" s="15" t="str">
        <f aca="false">IF(C55&lt;25,"Nano (&lt;$25M)",IF(C55&lt;100,"$25-100M",IF(C55&lt;250,"$100-250M","$250-500M")))</f>
        <v>$250-500M</v>
      </c>
    </row>
    <row r="56" customFormat="false" ht="23.85" hidden="false" customHeight="false" outlineLevel="0" collapsed="false">
      <c r="A56" s="12" t="s">
        <v>201</v>
      </c>
      <c r="B56" s="13" t="s">
        <v>202</v>
      </c>
      <c r="C56" s="14" t="n">
        <v>433.73</v>
      </c>
      <c r="D56" s="15" t="s">
        <v>27</v>
      </c>
      <c r="E56" s="13" t="s">
        <v>203</v>
      </c>
      <c r="F56" s="13" t="s">
        <v>204</v>
      </c>
      <c r="G56" s="13" t="s">
        <v>205</v>
      </c>
      <c r="H56" s="16" t="s">
        <v>63</v>
      </c>
      <c r="I56" s="15" t="n">
        <v>2</v>
      </c>
      <c r="J56" s="15" t="n">
        <v>3</v>
      </c>
      <c r="K56" s="15" t="n">
        <f aca="false">IF(C56&gt;=50,1,0)</f>
        <v>1</v>
      </c>
      <c r="L56" s="17" t="n">
        <f aca="false">IF(H56="0 (checked)",2,IF(H56="Unverified",1,IF(H56="1 (checked)",0.5,0)))</f>
        <v>1</v>
      </c>
      <c r="M56" s="17" t="n">
        <f aca="false">I56+J56+K56+L56</f>
        <v>7</v>
      </c>
      <c r="N56" s="15" t="str">
        <f aca="false">IF(C56&lt;25,"Nano (&lt;$25M)",IF(C56&lt;100,"$25-100M",IF(C56&lt;250,"$100-250M","$250-500M")))</f>
        <v>$250-500M</v>
      </c>
    </row>
    <row r="57" customFormat="false" ht="35.05" hidden="false" customHeight="false" outlineLevel="0" collapsed="false">
      <c r="A57" s="12" t="s">
        <v>206</v>
      </c>
      <c r="B57" s="13" t="s">
        <v>207</v>
      </c>
      <c r="C57" s="14" t="n">
        <v>424.73</v>
      </c>
      <c r="D57" s="15" t="s">
        <v>12</v>
      </c>
      <c r="E57" s="13" t="s">
        <v>173</v>
      </c>
      <c r="F57" s="13" t="s">
        <v>174</v>
      </c>
      <c r="G57" s="13"/>
      <c r="H57" s="16" t="s">
        <v>63</v>
      </c>
      <c r="I57" s="15" t="n">
        <v>2</v>
      </c>
      <c r="J57" s="15" t="n">
        <v>3</v>
      </c>
      <c r="K57" s="15" t="n">
        <f aca="false">IF(C57&gt;=50,1,0)</f>
        <v>1</v>
      </c>
      <c r="L57" s="17" t="n">
        <f aca="false">IF(H57="0 (checked)",2,IF(H57="Unverified",1,IF(H57="1 (checked)",0.5,0)))</f>
        <v>1</v>
      </c>
      <c r="M57" s="17" t="n">
        <f aca="false">I57+J57+K57+L57</f>
        <v>7</v>
      </c>
      <c r="N57" s="15" t="str">
        <f aca="false">IF(C57&lt;25,"Nano (&lt;$25M)",IF(C57&lt;100,"$25-100M",IF(C57&lt;250,"$100-250M","$250-500M")))</f>
        <v>$250-500M</v>
      </c>
    </row>
    <row r="58" customFormat="false" ht="35.05" hidden="false" customHeight="false" outlineLevel="0" collapsed="false">
      <c r="A58" s="12" t="s">
        <v>208</v>
      </c>
      <c r="B58" s="13" t="s">
        <v>209</v>
      </c>
      <c r="C58" s="14" t="n">
        <v>422.54</v>
      </c>
      <c r="D58" s="15" t="s">
        <v>12</v>
      </c>
      <c r="E58" s="13" t="s">
        <v>173</v>
      </c>
      <c r="F58" s="13" t="s">
        <v>174</v>
      </c>
      <c r="G58" s="13"/>
      <c r="H58" s="16" t="s">
        <v>63</v>
      </c>
      <c r="I58" s="15" t="n">
        <v>2</v>
      </c>
      <c r="J58" s="15" t="n">
        <v>3</v>
      </c>
      <c r="K58" s="15" t="n">
        <f aca="false">IF(C58&gt;=50,1,0)</f>
        <v>1</v>
      </c>
      <c r="L58" s="17" t="n">
        <f aca="false">IF(H58="0 (checked)",2,IF(H58="Unverified",1,IF(H58="1 (checked)",0.5,0)))</f>
        <v>1</v>
      </c>
      <c r="M58" s="17" t="n">
        <f aca="false">I58+J58+K58+L58</f>
        <v>7</v>
      </c>
      <c r="N58" s="15" t="str">
        <f aca="false">IF(C58&lt;25,"Nano (&lt;$25M)",IF(C58&lt;100,"$25-100M",IF(C58&lt;250,"$100-250M","$250-500M")))</f>
        <v>$250-500M</v>
      </c>
    </row>
    <row r="59" customFormat="false" ht="35.05" hidden="false" customHeight="false" outlineLevel="0" collapsed="false">
      <c r="A59" s="12" t="s">
        <v>210</v>
      </c>
      <c r="B59" s="13" t="s">
        <v>211</v>
      </c>
      <c r="C59" s="14" t="n">
        <v>408.91</v>
      </c>
      <c r="D59" s="15" t="s">
        <v>12</v>
      </c>
      <c r="E59" s="13" t="s">
        <v>173</v>
      </c>
      <c r="F59" s="13" t="s">
        <v>174</v>
      </c>
      <c r="G59" s="13"/>
      <c r="H59" s="16" t="s">
        <v>63</v>
      </c>
      <c r="I59" s="15" t="n">
        <v>2</v>
      </c>
      <c r="J59" s="15" t="n">
        <v>3</v>
      </c>
      <c r="K59" s="15" t="n">
        <f aca="false">IF(C59&gt;=50,1,0)</f>
        <v>1</v>
      </c>
      <c r="L59" s="17" t="n">
        <f aca="false">IF(H59="0 (checked)",2,IF(H59="Unverified",1,IF(H59="1 (checked)",0.5,0)))</f>
        <v>1</v>
      </c>
      <c r="M59" s="17" t="n">
        <f aca="false">I59+J59+K59+L59</f>
        <v>7</v>
      </c>
      <c r="N59" s="15" t="str">
        <f aca="false">IF(C59&lt;25,"Nano (&lt;$25M)",IF(C59&lt;100,"$25-100M",IF(C59&lt;250,"$100-250M","$250-500M")))</f>
        <v>$250-500M</v>
      </c>
    </row>
    <row r="60" customFormat="false" ht="23.85" hidden="false" customHeight="false" outlineLevel="0" collapsed="false">
      <c r="A60" s="12" t="s">
        <v>212</v>
      </c>
      <c r="B60" s="13" t="s">
        <v>213</v>
      </c>
      <c r="C60" s="14" t="n">
        <v>407.18</v>
      </c>
      <c r="D60" s="15" t="s">
        <v>14</v>
      </c>
      <c r="E60" s="13" t="s">
        <v>214</v>
      </c>
      <c r="F60" s="13" t="s">
        <v>215</v>
      </c>
      <c r="G60" s="13" t="s">
        <v>216</v>
      </c>
      <c r="H60" s="16" t="s">
        <v>63</v>
      </c>
      <c r="I60" s="15" t="n">
        <v>3</v>
      </c>
      <c r="J60" s="15" t="n">
        <v>2</v>
      </c>
      <c r="K60" s="15" t="n">
        <f aca="false">IF(C60&gt;=50,1,0)</f>
        <v>1</v>
      </c>
      <c r="L60" s="17" t="n">
        <f aca="false">IF(H60="0 (checked)",2,IF(H60="Unverified",1,IF(H60="1 (checked)",0.5,0)))</f>
        <v>1</v>
      </c>
      <c r="M60" s="17" t="n">
        <f aca="false">I60+J60+K60+L60</f>
        <v>7</v>
      </c>
      <c r="N60" s="15" t="str">
        <f aca="false">IF(C60&lt;25,"Nano (&lt;$25M)",IF(C60&lt;100,"$25-100M",IF(C60&lt;250,"$100-250M","$250-500M")))</f>
        <v>$250-500M</v>
      </c>
    </row>
    <row r="61" customFormat="false" ht="35.05" hidden="false" customHeight="false" outlineLevel="0" collapsed="false">
      <c r="A61" s="12" t="s">
        <v>217</v>
      </c>
      <c r="B61" s="13" t="s">
        <v>218</v>
      </c>
      <c r="C61" s="14" t="n">
        <v>406.83</v>
      </c>
      <c r="D61" s="15" t="s">
        <v>12</v>
      </c>
      <c r="E61" s="13" t="s">
        <v>173</v>
      </c>
      <c r="F61" s="13" t="s">
        <v>174</v>
      </c>
      <c r="G61" s="13"/>
      <c r="H61" s="16" t="s">
        <v>63</v>
      </c>
      <c r="I61" s="15" t="n">
        <v>2</v>
      </c>
      <c r="J61" s="15" t="n">
        <v>3</v>
      </c>
      <c r="K61" s="15" t="n">
        <f aca="false">IF(C61&gt;=50,1,0)</f>
        <v>1</v>
      </c>
      <c r="L61" s="17" t="n">
        <f aca="false">IF(H61="0 (checked)",2,IF(H61="Unverified",1,IF(H61="1 (checked)",0.5,0)))</f>
        <v>1</v>
      </c>
      <c r="M61" s="17" t="n">
        <f aca="false">I61+J61+K61+L61</f>
        <v>7</v>
      </c>
      <c r="N61" s="15" t="str">
        <f aca="false">IF(C61&lt;25,"Nano (&lt;$25M)",IF(C61&lt;100,"$25-100M",IF(C61&lt;250,"$100-250M","$250-500M")))</f>
        <v>$250-500M</v>
      </c>
    </row>
    <row r="62" customFormat="false" ht="35.05" hidden="false" customHeight="false" outlineLevel="0" collapsed="false">
      <c r="A62" s="12" t="s">
        <v>219</v>
      </c>
      <c r="B62" s="13" t="s">
        <v>220</v>
      </c>
      <c r="C62" s="14" t="n">
        <v>406.14</v>
      </c>
      <c r="D62" s="15" t="s">
        <v>12</v>
      </c>
      <c r="E62" s="13" t="s">
        <v>173</v>
      </c>
      <c r="F62" s="13" t="s">
        <v>174</v>
      </c>
      <c r="G62" s="13"/>
      <c r="H62" s="16" t="s">
        <v>63</v>
      </c>
      <c r="I62" s="15" t="n">
        <v>2</v>
      </c>
      <c r="J62" s="15" t="n">
        <v>3</v>
      </c>
      <c r="K62" s="15" t="n">
        <f aca="false">IF(C62&gt;=50,1,0)</f>
        <v>1</v>
      </c>
      <c r="L62" s="17" t="n">
        <f aca="false">IF(H62="0 (checked)",2,IF(H62="Unverified",1,IF(H62="1 (checked)",0.5,0)))</f>
        <v>1</v>
      </c>
      <c r="M62" s="17" t="n">
        <f aca="false">I62+J62+K62+L62</f>
        <v>7</v>
      </c>
      <c r="N62" s="15" t="str">
        <f aca="false">IF(C62&lt;25,"Nano (&lt;$25M)",IF(C62&lt;100,"$25-100M",IF(C62&lt;250,"$100-250M","$250-500M")))</f>
        <v>$250-500M</v>
      </c>
    </row>
    <row r="63" customFormat="false" ht="35.05" hidden="false" customHeight="false" outlineLevel="0" collapsed="false">
      <c r="A63" s="12" t="s">
        <v>221</v>
      </c>
      <c r="B63" s="13" t="s">
        <v>222</v>
      </c>
      <c r="C63" s="14" t="n">
        <v>402.04</v>
      </c>
      <c r="D63" s="15" t="s">
        <v>12</v>
      </c>
      <c r="E63" s="13" t="s">
        <v>173</v>
      </c>
      <c r="F63" s="13" t="s">
        <v>174</v>
      </c>
      <c r="G63" s="13"/>
      <c r="H63" s="16" t="s">
        <v>63</v>
      </c>
      <c r="I63" s="15" t="n">
        <v>2</v>
      </c>
      <c r="J63" s="15" t="n">
        <v>3</v>
      </c>
      <c r="K63" s="15" t="n">
        <f aca="false">IF(C63&gt;=50,1,0)</f>
        <v>1</v>
      </c>
      <c r="L63" s="17" t="n">
        <f aca="false">IF(H63="0 (checked)",2,IF(H63="Unverified",1,IF(H63="1 (checked)",0.5,0)))</f>
        <v>1</v>
      </c>
      <c r="M63" s="17" t="n">
        <f aca="false">I63+J63+K63+L63</f>
        <v>7</v>
      </c>
      <c r="N63" s="15" t="str">
        <f aca="false">IF(C63&lt;25,"Nano (&lt;$25M)",IF(C63&lt;100,"$25-100M",IF(C63&lt;250,"$100-250M","$250-500M")))</f>
        <v>$250-500M</v>
      </c>
    </row>
    <row r="64" customFormat="false" ht="23.85" hidden="false" customHeight="false" outlineLevel="0" collapsed="false">
      <c r="A64" s="12" t="s">
        <v>223</v>
      </c>
      <c r="B64" s="13" t="s">
        <v>224</v>
      </c>
      <c r="C64" s="14" t="n">
        <v>401.54</v>
      </c>
      <c r="D64" s="15" t="s">
        <v>24</v>
      </c>
      <c r="E64" s="13" t="s">
        <v>225</v>
      </c>
      <c r="F64" s="13" t="s">
        <v>226</v>
      </c>
      <c r="G64" s="13" t="s">
        <v>227</v>
      </c>
      <c r="H64" s="16" t="s">
        <v>63</v>
      </c>
      <c r="I64" s="15" t="n">
        <v>3</v>
      </c>
      <c r="J64" s="15" t="n">
        <v>2</v>
      </c>
      <c r="K64" s="15" t="n">
        <f aca="false">IF(C64&gt;=50,1,0)</f>
        <v>1</v>
      </c>
      <c r="L64" s="17" t="n">
        <f aca="false">IF(H64="0 (checked)",2,IF(H64="Unverified",1,IF(H64="1 (checked)",0.5,0)))</f>
        <v>1</v>
      </c>
      <c r="M64" s="17" t="n">
        <f aca="false">I64+J64+K64+L64</f>
        <v>7</v>
      </c>
      <c r="N64" s="15" t="str">
        <f aca="false">IF(C64&lt;25,"Nano (&lt;$25M)",IF(C64&lt;100,"$25-100M",IF(C64&lt;250,"$100-250M","$250-500M")))</f>
        <v>$250-500M</v>
      </c>
    </row>
    <row r="65" customFormat="false" ht="23.85" hidden="false" customHeight="false" outlineLevel="0" collapsed="false">
      <c r="A65" s="12" t="s">
        <v>228</v>
      </c>
      <c r="B65" s="13" t="s">
        <v>229</v>
      </c>
      <c r="C65" s="14" t="n">
        <v>400.41</v>
      </c>
      <c r="D65" s="15" t="s">
        <v>27</v>
      </c>
      <c r="E65" s="13" t="s">
        <v>203</v>
      </c>
      <c r="F65" s="13" t="s">
        <v>204</v>
      </c>
      <c r="G65" s="13" t="s">
        <v>230</v>
      </c>
      <c r="H65" s="16" t="s">
        <v>63</v>
      </c>
      <c r="I65" s="15" t="n">
        <v>2</v>
      </c>
      <c r="J65" s="15" t="n">
        <v>3</v>
      </c>
      <c r="K65" s="15" t="n">
        <f aca="false">IF(C65&gt;=50,1,0)</f>
        <v>1</v>
      </c>
      <c r="L65" s="17" t="n">
        <f aca="false">IF(H65="0 (checked)",2,IF(H65="Unverified",1,IF(H65="1 (checked)",0.5,0)))</f>
        <v>1</v>
      </c>
      <c r="M65" s="17" t="n">
        <f aca="false">I65+J65+K65+L65</f>
        <v>7</v>
      </c>
      <c r="N65" s="15" t="str">
        <f aca="false">IF(C65&lt;25,"Nano (&lt;$25M)",IF(C65&lt;100,"$25-100M",IF(C65&lt;250,"$100-250M","$250-500M")))</f>
        <v>$250-500M</v>
      </c>
    </row>
    <row r="66" customFormat="false" ht="35.05" hidden="false" customHeight="false" outlineLevel="0" collapsed="false">
      <c r="A66" s="12" t="s">
        <v>231</v>
      </c>
      <c r="B66" s="13" t="s">
        <v>232</v>
      </c>
      <c r="C66" s="14" t="n">
        <v>399.8</v>
      </c>
      <c r="D66" s="15" t="s">
        <v>12</v>
      </c>
      <c r="E66" s="13" t="s">
        <v>173</v>
      </c>
      <c r="F66" s="13" t="s">
        <v>174</v>
      </c>
      <c r="G66" s="13"/>
      <c r="H66" s="16" t="s">
        <v>63</v>
      </c>
      <c r="I66" s="15" t="n">
        <v>2</v>
      </c>
      <c r="J66" s="15" t="n">
        <v>3</v>
      </c>
      <c r="K66" s="15" t="n">
        <f aca="false">IF(C66&gt;=50,1,0)</f>
        <v>1</v>
      </c>
      <c r="L66" s="17" t="n">
        <f aca="false">IF(H66="0 (checked)",2,IF(H66="Unverified",1,IF(H66="1 (checked)",0.5,0)))</f>
        <v>1</v>
      </c>
      <c r="M66" s="17" t="n">
        <f aca="false">I66+J66+K66+L66</f>
        <v>7</v>
      </c>
      <c r="N66" s="15" t="str">
        <f aca="false">IF(C66&lt;25,"Nano (&lt;$25M)",IF(C66&lt;100,"$25-100M",IF(C66&lt;250,"$100-250M","$250-500M")))</f>
        <v>$250-500M</v>
      </c>
    </row>
    <row r="67" customFormat="false" ht="23.85" hidden="false" customHeight="false" outlineLevel="0" collapsed="false">
      <c r="A67" s="12" t="s">
        <v>233</v>
      </c>
      <c r="B67" s="13" t="s">
        <v>234</v>
      </c>
      <c r="C67" s="14" t="n">
        <v>398.27</v>
      </c>
      <c r="D67" s="15" t="s">
        <v>27</v>
      </c>
      <c r="E67" s="13" t="s">
        <v>203</v>
      </c>
      <c r="F67" s="13" t="s">
        <v>204</v>
      </c>
      <c r="G67" s="13" t="s">
        <v>235</v>
      </c>
      <c r="H67" s="16" t="s">
        <v>63</v>
      </c>
      <c r="I67" s="15" t="n">
        <v>2</v>
      </c>
      <c r="J67" s="15" t="n">
        <v>3</v>
      </c>
      <c r="K67" s="15" t="n">
        <f aca="false">IF(C67&gt;=50,1,0)</f>
        <v>1</v>
      </c>
      <c r="L67" s="17" t="n">
        <f aca="false">IF(H67="0 (checked)",2,IF(H67="Unverified",1,IF(H67="1 (checked)",0.5,0)))</f>
        <v>1</v>
      </c>
      <c r="M67" s="17" t="n">
        <f aca="false">I67+J67+K67+L67</f>
        <v>7</v>
      </c>
      <c r="N67" s="15" t="str">
        <f aca="false">IF(C67&lt;25,"Nano (&lt;$25M)",IF(C67&lt;100,"$25-100M",IF(C67&lt;250,"$100-250M","$250-500M")))</f>
        <v>$250-500M</v>
      </c>
    </row>
    <row r="68" customFormat="false" ht="35.05" hidden="false" customHeight="false" outlineLevel="0" collapsed="false">
      <c r="A68" s="12" t="s">
        <v>236</v>
      </c>
      <c r="B68" s="13" t="s">
        <v>237</v>
      </c>
      <c r="C68" s="14" t="n">
        <v>398.23</v>
      </c>
      <c r="D68" s="15" t="s">
        <v>12</v>
      </c>
      <c r="E68" s="13" t="s">
        <v>173</v>
      </c>
      <c r="F68" s="13" t="s">
        <v>174</v>
      </c>
      <c r="G68" s="13"/>
      <c r="H68" s="16" t="s">
        <v>63</v>
      </c>
      <c r="I68" s="15" t="n">
        <v>2</v>
      </c>
      <c r="J68" s="15" t="n">
        <v>3</v>
      </c>
      <c r="K68" s="15" t="n">
        <f aca="false">IF(C68&gt;=50,1,0)</f>
        <v>1</v>
      </c>
      <c r="L68" s="17" t="n">
        <f aca="false">IF(H68="0 (checked)",2,IF(H68="Unverified",1,IF(H68="1 (checked)",0.5,0)))</f>
        <v>1</v>
      </c>
      <c r="M68" s="17" t="n">
        <f aca="false">I68+J68+K68+L68</f>
        <v>7</v>
      </c>
      <c r="N68" s="15" t="str">
        <f aca="false">IF(C68&lt;25,"Nano (&lt;$25M)",IF(C68&lt;100,"$25-100M",IF(C68&lt;250,"$100-250M","$250-500M")))</f>
        <v>$250-500M</v>
      </c>
    </row>
    <row r="69" customFormat="false" ht="35.05" hidden="false" customHeight="false" outlineLevel="0" collapsed="false">
      <c r="A69" s="12" t="s">
        <v>238</v>
      </c>
      <c r="B69" s="13" t="s">
        <v>239</v>
      </c>
      <c r="C69" s="14" t="n">
        <v>396.75</v>
      </c>
      <c r="D69" s="15" t="s">
        <v>12</v>
      </c>
      <c r="E69" s="13" t="s">
        <v>173</v>
      </c>
      <c r="F69" s="13" t="s">
        <v>174</v>
      </c>
      <c r="G69" s="13"/>
      <c r="H69" s="16" t="s">
        <v>63</v>
      </c>
      <c r="I69" s="15" t="n">
        <v>2</v>
      </c>
      <c r="J69" s="15" t="n">
        <v>3</v>
      </c>
      <c r="K69" s="15" t="n">
        <f aca="false">IF(C69&gt;=50,1,0)</f>
        <v>1</v>
      </c>
      <c r="L69" s="17" t="n">
        <f aca="false">IF(H69="0 (checked)",2,IF(H69="Unverified",1,IF(H69="1 (checked)",0.5,0)))</f>
        <v>1</v>
      </c>
      <c r="M69" s="17" t="n">
        <f aca="false">I69+J69+K69+L69</f>
        <v>7</v>
      </c>
      <c r="N69" s="15" t="str">
        <f aca="false">IF(C69&lt;25,"Nano (&lt;$25M)",IF(C69&lt;100,"$25-100M",IF(C69&lt;250,"$100-250M","$250-500M")))</f>
        <v>$250-500M</v>
      </c>
    </row>
    <row r="70" customFormat="false" ht="35.05" hidden="false" customHeight="false" outlineLevel="0" collapsed="false">
      <c r="A70" s="12" t="s">
        <v>240</v>
      </c>
      <c r="B70" s="13" t="s">
        <v>241</v>
      </c>
      <c r="C70" s="14" t="n">
        <v>395.33</v>
      </c>
      <c r="D70" s="15" t="s">
        <v>12</v>
      </c>
      <c r="E70" s="13" t="s">
        <v>173</v>
      </c>
      <c r="F70" s="13" t="s">
        <v>174</v>
      </c>
      <c r="G70" s="13"/>
      <c r="H70" s="16" t="s">
        <v>63</v>
      </c>
      <c r="I70" s="15" t="n">
        <v>2</v>
      </c>
      <c r="J70" s="15" t="n">
        <v>3</v>
      </c>
      <c r="K70" s="15" t="n">
        <f aca="false">IF(C70&gt;=50,1,0)</f>
        <v>1</v>
      </c>
      <c r="L70" s="17" t="n">
        <f aca="false">IF(H70="0 (checked)",2,IF(H70="Unverified",1,IF(H70="1 (checked)",0.5,0)))</f>
        <v>1</v>
      </c>
      <c r="M70" s="17" t="n">
        <f aca="false">I70+J70+K70+L70</f>
        <v>7</v>
      </c>
      <c r="N70" s="15" t="str">
        <f aca="false">IF(C70&lt;25,"Nano (&lt;$25M)",IF(C70&lt;100,"$25-100M",IF(C70&lt;250,"$100-250M","$250-500M")))</f>
        <v>$250-500M</v>
      </c>
    </row>
    <row r="71" customFormat="false" ht="35.05" hidden="false" customHeight="false" outlineLevel="0" collapsed="false">
      <c r="A71" s="12" t="s">
        <v>242</v>
      </c>
      <c r="B71" s="13" t="s">
        <v>243</v>
      </c>
      <c r="C71" s="14" t="n">
        <v>389.03</v>
      </c>
      <c r="D71" s="15" t="s">
        <v>12</v>
      </c>
      <c r="E71" s="13" t="s">
        <v>173</v>
      </c>
      <c r="F71" s="13" t="s">
        <v>174</v>
      </c>
      <c r="G71" s="13"/>
      <c r="H71" s="16" t="s">
        <v>63</v>
      </c>
      <c r="I71" s="15" t="n">
        <v>2</v>
      </c>
      <c r="J71" s="15" t="n">
        <v>3</v>
      </c>
      <c r="K71" s="15" t="n">
        <f aca="false">IF(C71&gt;=50,1,0)</f>
        <v>1</v>
      </c>
      <c r="L71" s="17" t="n">
        <f aca="false">IF(H71="0 (checked)",2,IF(H71="Unverified",1,IF(H71="1 (checked)",0.5,0)))</f>
        <v>1</v>
      </c>
      <c r="M71" s="17" t="n">
        <f aca="false">I71+J71+K71+L71</f>
        <v>7</v>
      </c>
      <c r="N71" s="15" t="str">
        <f aca="false">IF(C71&lt;25,"Nano (&lt;$25M)",IF(C71&lt;100,"$25-100M",IF(C71&lt;250,"$100-250M","$250-500M")))</f>
        <v>$250-500M</v>
      </c>
    </row>
    <row r="72" customFormat="false" ht="23.85" hidden="false" customHeight="false" outlineLevel="0" collapsed="false">
      <c r="A72" s="12" t="s">
        <v>244</v>
      </c>
      <c r="B72" s="13" t="s">
        <v>245</v>
      </c>
      <c r="C72" s="14" t="n">
        <v>388</v>
      </c>
      <c r="D72" s="15" t="s">
        <v>16</v>
      </c>
      <c r="E72" s="13" t="s">
        <v>246</v>
      </c>
      <c r="F72" s="13" t="s">
        <v>247</v>
      </c>
      <c r="G72" s="13" t="s">
        <v>248</v>
      </c>
      <c r="H72" s="16" t="s">
        <v>51</v>
      </c>
      <c r="I72" s="15" t="n">
        <v>2</v>
      </c>
      <c r="J72" s="15" t="n">
        <v>2</v>
      </c>
      <c r="K72" s="15" t="n">
        <f aca="false">IF(C72&gt;=50,1,0)</f>
        <v>1</v>
      </c>
      <c r="L72" s="17" t="n">
        <f aca="false">IF(H72="0 (checked)",2,IF(H72="Unverified",1,IF(H72="1 (checked)",0.5,0)))</f>
        <v>2</v>
      </c>
      <c r="M72" s="17" t="n">
        <f aca="false">I72+J72+K72+L72</f>
        <v>7</v>
      </c>
      <c r="N72" s="15" t="str">
        <f aca="false">IF(C72&lt;25,"Nano (&lt;$25M)",IF(C72&lt;100,"$25-100M",IF(C72&lt;250,"$100-250M","$250-500M")))</f>
        <v>$250-500M</v>
      </c>
    </row>
    <row r="73" customFormat="false" ht="35.05" hidden="false" customHeight="false" outlineLevel="0" collapsed="false">
      <c r="A73" s="12" t="s">
        <v>249</v>
      </c>
      <c r="B73" s="13" t="s">
        <v>250</v>
      </c>
      <c r="C73" s="14" t="n">
        <v>383.95</v>
      </c>
      <c r="D73" s="15" t="s">
        <v>12</v>
      </c>
      <c r="E73" s="13" t="s">
        <v>173</v>
      </c>
      <c r="F73" s="13" t="s">
        <v>174</v>
      </c>
      <c r="G73" s="13"/>
      <c r="H73" s="16" t="s">
        <v>63</v>
      </c>
      <c r="I73" s="15" t="n">
        <v>2</v>
      </c>
      <c r="J73" s="15" t="n">
        <v>3</v>
      </c>
      <c r="K73" s="15" t="n">
        <f aca="false">IF(C73&gt;=50,1,0)</f>
        <v>1</v>
      </c>
      <c r="L73" s="17" t="n">
        <f aca="false">IF(H73="0 (checked)",2,IF(H73="Unverified",1,IF(H73="1 (checked)",0.5,0)))</f>
        <v>1</v>
      </c>
      <c r="M73" s="17" t="n">
        <f aca="false">I73+J73+K73+L73</f>
        <v>7</v>
      </c>
      <c r="N73" s="15" t="str">
        <f aca="false">IF(C73&lt;25,"Nano (&lt;$25M)",IF(C73&lt;100,"$25-100M",IF(C73&lt;250,"$100-250M","$250-500M")))</f>
        <v>$250-500M</v>
      </c>
    </row>
    <row r="74" customFormat="false" ht="35.05" hidden="false" customHeight="false" outlineLevel="0" collapsed="false">
      <c r="A74" s="12" t="s">
        <v>251</v>
      </c>
      <c r="B74" s="13" t="s">
        <v>252</v>
      </c>
      <c r="C74" s="14" t="n">
        <v>373.27</v>
      </c>
      <c r="D74" s="15" t="s">
        <v>12</v>
      </c>
      <c r="E74" s="13" t="s">
        <v>173</v>
      </c>
      <c r="F74" s="13" t="s">
        <v>174</v>
      </c>
      <c r="G74" s="13"/>
      <c r="H74" s="16" t="s">
        <v>63</v>
      </c>
      <c r="I74" s="15" t="n">
        <v>2</v>
      </c>
      <c r="J74" s="15" t="n">
        <v>3</v>
      </c>
      <c r="K74" s="15" t="n">
        <f aca="false">IF(C74&gt;=50,1,0)</f>
        <v>1</v>
      </c>
      <c r="L74" s="17" t="n">
        <f aca="false">IF(H74="0 (checked)",2,IF(H74="Unverified",1,IF(H74="1 (checked)",0.5,0)))</f>
        <v>1</v>
      </c>
      <c r="M74" s="17" t="n">
        <f aca="false">I74+J74+K74+L74</f>
        <v>7</v>
      </c>
      <c r="N74" s="15" t="str">
        <f aca="false">IF(C74&lt;25,"Nano (&lt;$25M)",IF(C74&lt;100,"$25-100M",IF(C74&lt;250,"$100-250M","$250-500M")))</f>
        <v>$250-500M</v>
      </c>
    </row>
    <row r="75" customFormat="false" ht="35.05" hidden="false" customHeight="false" outlineLevel="0" collapsed="false">
      <c r="A75" s="12" t="s">
        <v>253</v>
      </c>
      <c r="B75" s="13" t="s">
        <v>254</v>
      </c>
      <c r="C75" s="14" t="n">
        <v>364.13</v>
      </c>
      <c r="D75" s="15" t="s">
        <v>12</v>
      </c>
      <c r="E75" s="13" t="s">
        <v>173</v>
      </c>
      <c r="F75" s="13" t="s">
        <v>174</v>
      </c>
      <c r="G75" s="13"/>
      <c r="H75" s="16" t="s">
        <v>63</v>
      </c>
      <c r="I75" s="15" t="n">
        <v>2</v>
      </c>
      <c r="J75" s="15" t="n">
        <v>3</v>
      </c>
      <c r="K75" s="15" t="n">
        <f aca="false">IF(C75&gt;=50,1,0)</f>
        <v>1</v>
      </c>
      <c r="L75" s="17" t="n">
        <f aca="false">IF(H75="0 (checked)",2,IF(H75="Unverified",1,IF(H75="1 (checked)",0.5,0)))</f>
        <v>1</v>
      </c>
      <c r="M75" s="17" t="n">
        <f aca="false">I75+J75+K75+L75</f>
        <v>7</v>
      </c>
      <c r="N75" s="15" t="str">
        <f aca="false">IF(C75&lt;25,"Nano (&lt;$25M)",IF(C75&lt;100,"$25-100M",IF(C75&lt;250,"$100-250M","$250-500M")))</f>
        <v>$250-500M</v>
      </c>
    </row>
    <row r="76" customFormat="false" ht="35.05" hidden="false" customHeight="false" outlineLevel="0" collapsed="false">
      <c r="A76" s="12" t="s">
        <v>255</v>
      </c>
      <c r="B76" s="13" t="s">
        <v>256</v>
      </c>
      <c r="C76" s="14" t="n">
        <v>361.96</v>
      </c>
      <c r="D76" s="15" t="s">
        <v>12</v>
      </c>
      <c r="E76" s="13" t="s">
        <v>173</v>
      </c>
      <c r="F76" s="13" t="s">
        <v>174</v>
      </c>
      <c r="G76" s="13"/>
      <c r="H76" s="16" t="s">
        <v>63</v>
      </c>
      <c r="I76" s="15" t="n">
        <v>2</v>
      </c>
      <c r="J76" s="15" t="n">
        <v>3</v>
      </c>
      <c r="K76" s="15" t="n">
        <f aca="false">IF(C76&gt;=50,1,0)</f>
        <v>1</v>
      </c>
      <c r="L76" s="17" t="n">
        <f aca="false">IF(H76="0 (checked)",2,IF(H76="Unverified",1,IF(H76="1 (checked)",0.5,0)))</f>
        <v>1</v>
      </c>
      <c r="M76" s="17" t="n">
        <f aca="false">I76+J76+K76+L76</f>
        <v>7</v>
      </c>
      <c r="N76" s="15" t="str">
        <f aca="false">IF(C76&lt;25,"Nano (&lt;$25M)",IF(C76&lt;100,"$25-100M",IF(C76&lt;250,"$100-250M","$250-500M")))</f>
        <v>$250-500M</v>
      </c>
    </row>
    <row r="77" customFormat="false" ht="35.05" hidden="false" customHeight="false" outlineLevel="0" collapsed="false">
      <c r="A77" s="12" t="s">
        <v>257</v>
      </c>
      <c r="B77" s="13" t="s">
        <v>258</v>
      </c>
      <c r="C77" s="14" t="n">
        <v>351.53</v>
      </c>
      <c r="D77" s="15" t="s">
        <v>12</v>
      </c>
      <c r="E77" s="13" t="s">
        <v>173</v>
      </c>
      <c r="F77" s="13" t="s">
        <v>174</v>
      </c>
      <c r="G77" s="13" t="s">
        <v>259</v>
      </c>
      <c r="H77" s="16" t="s">
        <v>63</v>
      </c>
      <c r="I77" s="15" t="n">
        <v>2</v>
      </c>
      <c r="J77" s="15" t="n">
        <v>3</v>
      </c>
      <c r="K77" s="15" t="n">
        <f aca="false">IF(C77&gt;=50,1,0)</f>
        <v>1</v>
      </c>
      <c r="L77" s="17" t="n">
        <f aca="false">IF(H77="0 (checked)",2,IF(H77="Unverified",1,IF(H77="1 (checked)",0.5,0)))</f>
        <v>1</v>
      </c>
      <c r="M77" s="17" t="n">
        <f aca="false">I77+J77+K77+L77</f>
        <v>7</v>
      </c>
      <c r="N77" s="15" t="str">
        <f aca="false">IF(C77&lt;25,"Nano (&lt;$25M)",IF(C77&lt;100,"$25-100M",IF(C77&lt;250,"$100-250M","$250-500M")))</f>
        <v>$250-500M</v>
      </c>
    </row>
    <row r="78" customFormat="false" ht="35.05" hidden="false" customHeight="false" outlineLevel="0" collapsed="false">
      <c r="A78" s="12" t="s">
        <v>260</v>
      </c>
      <c r="B78" s="13" t="s">
        <v>261</v>
      </c>
      <c r="C78" s="14" t="n">
        <v>347.08</v>
      </c>
      <c r="D78" s="15" t="s">
        <v>12</v>
      </c>
      <c r="E78" s="13" t="s">
        <v>173</v>
      </c>
      <c r="F78" s="13" t="s">
        <v>174</v>
      </c>
      <c r="G78" s="13"/>
      <c r="H78" s="16" t="s">
        <v>63</v>
      </c>
      <c r="I78" s="15" t="n">
        <v>2</v>
      </c>
      <c r="J78" s="15" t="n">
        <v>3</v>
      </c>
      <c r="K78" s="15" t="n">
        <f aca="false">IF(C78&gt;=50,1,0)</f>
        <v>1</v>
      </c>
      <c r="L78" s="17" t="n">
        <f aca="false">IF(H78="0 (checked)",2,IF(H78="Unverified",1,IF(H78="1 (checked)",0.5,0)))</f>
        <v>1</v>
      </c>
      <c r="M78" s="17" t="n">
        <f aca="false">I78+J78+K78+L78</f>
        <v>7</v>
      </c>
      <c r="N78" s="15" t="str">
        <f aca="false">IF(C78&lt;25,"Nano (&lt;$25M)",IF(C78&lt;100,"$25-100M",IF(C78&lt;250,"$100-250M","$250-500M")))</f>
        <v>$250-500M</v>
      </c>
    </row>
    <row r="79" customFormat="false" ht="23.85" hidden="false" customHeight="false" outlineLevel="0" collapsed="false">
      <c r="A79" s="12" t="s">
        <v>262</v>
      </c>
      <c r="B79" s="13" t="s">
        <v>263</v>
      </c>
      <c r="C79" s="14" t="n">
        <v>345.17</v>
      </c>
      <c r="D79" s="15" t="s">
        <v>24</v>
      </c>
      <c r="E79" s="13" t="s">
        <v>225</v>
      </c>
      <c r="F79" s="13" t="s">
        <v>226</v>
      </c>
      <c r="G79" s="13" t="s">
        <v>264</v>
      </c>
      <c r="H79" s="16" t="s">
        <v>63</v>
      </c>
      <c r="I79" s="15" t="n">
        <v>3</v>
      </c>
      <c r="J79" s="15" t="n">
        <v>2</v>
      </c>
      <c r="K79" s="15" t="n">
        <f aca="false">IF(C79&gt;=50,1,0)</f>
        <v>1</v>
      </c>
      <c r="L79" s="17" t="n">
        <f aca="false">IF(H79="0 (checked)",2,IF(H79="Unverified",1,IF(H79="1 (checked)",0.5,0)))</f>
        <v>1</v>
      </c>
      <c r="M79" s="17" t="n">
        <f aca="false">I79+J79+K79+L79</f>
        <v>7</v>
      </c>
      <c r="N79" s="15" t="str">
        <f aca="false">IF(C79&lt;25,"Nano (&lt;$25M)",IF(C79&lt;100,"$25-100M",IF(C79&lt;250,"$100-250M","$250-500M")))</f>
        <v>$250-500M</v>
      </c>
    </row>
    <row r="80" customFormat="false" ht="35.05" hidden="false" customHeight="false" outlineLevel="0" collapsed="false">
      <c r="A80" s="12" t="s">
        <v>265</v>
      </c>
      <c r="B80" s="13" t="s">
        <v>266</v>
      </c>
      <c r="C80" s="14" t="n">
        <v>342.61</v>
      </c>
      <c r="D80" s="15" t="s">
        <v>22</v>
      </c>
      <c r="E80" s="13" t="s">
        <v>267</v>
      </c>
      <c r="F80" s="13" t="s">
        <v>268</v>
      </c>
      <c r="G80" s="13"/>
      <c r="H80" s="16" t="s">
        <v>63</v>
      </c>
      <c r="I80" s="15" t="n">
        <v>2</v>
      </c>
      <c r="J80" s="15" t="n">
        <v>3</v>
      </c>
      <c r="K80" s="15" t="n">
        <f aca="false">IF(C80&gt;=50,1,0)</f>
        <v>1</v>
      </c>
      <c r="L80" s="17" t="n">
        <f aca="false">IF(H80="0 (checked)",2,IF(H80="Unverified",1,IF(H80="1 (checked)",0.5,0)))</f>
        <v>1</v>
      </c>
      <c r="M80" s="17" t="n">
        <f aca="false">I80+J80+K80+L80</f>
        <v>7</v>
      </c>
      <c r="N80" s="15" t="str">
        <f aca="false">IF(C80&lt;25,"Nano (&lt;$25M)",IF(C80&lt;100,"$25-100M",IF(C80&lt;250,"$100-250M","$250-500M")))</f>
        <v>$250-500M</v>
      </c>
    </row>
    <row r="81" customFormat="false" ht="35.05" hidden="false" customHeight="false" outlineLevel="0" collapsed="false">
      <c r="A81" s="12" t="s">
        <v>269</v>
      </c>
      <c r="B81" s="13" t="s">
        <v>270</v>
      </c>
      <c r="C81" s="14" t="n">
        <v>332.66</v>
      </c>
      <c r="D81" s="15" t="s">
        <v>12</v>
      </c>
      <c r="E81" s="13" t="s">
        <v>173</v>
      </c>
      <c r="F81" s="13" t="s">
        <v>174</v>
      </c>
      <c r="G81" s="13"/>
      <c r="H81" s="16" t="s">
        <v>63</v>
      </c>
      <c r="I81" s="15" t="n">
        <v>2</v>
      </c>
      <c r="J81" s="15" t="n">
        <v>3</v>
      </c>
      <c r="K81" s="15" t="n">
        <f aca="false">IF(C81&gt;=50,1,0)</f>
        <v>1</v>
      </c>
      <c r="L81" s="17" t="n">
        <f aca="false">IF(H81="0 (checked)",2,IF(H81="Unverified",1,IF(H81="1 (checked)",0.5,0)))</f>
        <v>1</v>
      </c>
      <c r="M81" s="17" t="n">
        <f aca="false">I81+J81+K81+L81</f>
        <v>7</v>
      </c>
      <c r="N81" s="15" t="str">
        <f aca="false">IF(C81&lt;25,"Nano (&lt;$25M)",IF(C81&lt;100,"$25-100M",IF(C81&lt;250,"$100-250M","$250-500M")))</f>
        <v>$250-500M</v>
      </c>
    </row>
    <row r="82" customFormat="false" ht="35.05" hidden="false" customHeight="false" outlineLevel="0" collapsed="false">
      <c r="A82" s="12" t="s">
        <v>271</v>
      </c>
      <c r="B82" s="13" t="s">
        <v>272</v>
      </c>
      <c r="C82" s="14" t="n">
        <v>332.37</v>
      </c>
      <c r="D82" s="15" t="s">
        <v>12</v>
      </c>
      <c r="E82" s="13" t="s">
        <v>173</v>
      </c>
      <c r="F82" s="13" t="s">
        <v>174</v>
      </c>
      <c r="G82" s="13"/>
      <c r="H82" s="16" t="s">
        <v>63</v>
      </c>
      <c r="I82" s="15" t="n">
        <v>2</v>
      </c>
      <c r="J82" s="15" t="n">
        <v>3</v>
      </c>
      <c r="K82" s="15" t="n">
        <f aca="false">IF(C82&gt;=50,1,0)</f>
        <v>1</v>
      </c>
      <c r="L82" s="17" t="n">
        <f aca="false">IF(H82="0 (checked)",2,IF(H82="Unverified",1,IF(H82="1 (checked)",0.5,0)))</f>
        <v>1</v>
      </c>
      <c r="M82" s="17" t="n">
        <f aca="false">I82+J82+K82+L82</f>
        <v>7</v>
      </c>
      <c r="N82" s="15" t="str">
        <f aca="false">IF(C82&lt;25,"Nano (&lt;$25M)",IF(C82&lt;100,"$25-100M",IF(C82&lt;250,"$100-250M","$250-500M")))</f>
        <v>$250-500M</v>
      </c>
    </row>
    <row r="83" customFormat="false" ht="35.05" hidden="false" customHeight="false" outlineLevel="0" collapsed="false">
      <c r="A83" s="12" t="s">
        <v>273</v>
      </c>
      <c r="B83" s="13" t="s">
        <v>274</v>
      </c>
      <c r="C83" s="14" t="n">
        <v>329.58</v>
      </c>
      <c r="D83" s="15" t="s">
        <v>12</v>
      </c>
      <c r="E83" s="13" t="s">
        <v>173</v>
      </c>
      <c r="F83" s="13" t="s">
        <v>174</v>
      </c>
      <c r="G83" s="13"/>
      <c r="H83" s="16" t="s">
        <v>63</v>
      </c>
      <c r="I83" s="15" t="n">
        <v>2</v>
      </c>
      <c r="J83" s="15" t="n">
        <v>3</v>
      </c>
      <c r="K83" s="15" t="n">
        <f aca="false">IF(C83&gt;=50,1,0)</f>
        <v>1</v>
      </c>
      <c r="L83" s="17" t="n">
        <f aca="false">IF(H83="0 (checked)",2,IF(H83="Unverified",1,IF(H83="1 (checked)",0.5,0)))</f>
        <v>1</v>
      </c>
      <c r="M83" s="17" t="n">
        <f aca="false">I83+J83+K83+L83</f>
        <v>7</v>
      </c>
      <c r="N83" s="15" t="str">
        <f aca="false">IF(C83&lt;25,"Nano (&lt;$25M)",IF(C83&lt;100,"$25-100M",IF(C83&lt;250,"$100-250M","$250-500M")))</f>
        <v>$250-500M</v>
      </c>
    </row>
    <row r="84" customFormat="false" ht="35.05" hidden="false" customHeight="false" outlineLevel="0" collapsed="false">
      <c r="A84" s="12" t="s">
        <v>275</v>
      </c>
      <c r="B84" s="13" t="s">
        <v>276</v>
      </c>
      <c r="C84" s="14" t="n">
        <v>328.23</v>
      </c>
      <c r="D84" s="15" t="s">
        <v>22</v>
      </c>
      <c r="E84" s="13" t="s">
        <v>267</v>
      </c>
      <c r="F84" s="13" t="s">
        <v>268</v>
      </c>
      <c r="G84" s="13"/>
      <c r="H84" s="16" t="s">
        <v>63</v>
      </c>
      <c r="I84" s="15" t="n">
        <v>2</v>
      </c>
      <c r="J84" s="15" t="n">
        <v>3</v>
      </c>
      <c r="K84" s="15" t="n">
        <f aca="false">IF(C84&gt;=50,1,0)</f>
        <v>1</v>
      </c>
      <c r="L84" s="17" t="n">
        <f aca="false">IF(H84="0 (checked)",2,IF(H84="Unverified",1,IF(H84="1 (checked)",0.5,0)))</f>
        <v>1</v>
      </c>
      <c r="M84" s="17" t="n">
        <f aca="false">I84+J84+K84+L84</f>
        <v>7</v>
      </c>
      <c r="N84" s="15" t="str">
        <f aca="false">IF(C84&lt;25,"Nano (&lt;$25M)",IF(C84&lt;100,"$25-100M",IF(C84&lt;250,"$100-250M","$250-500M")))</f>
        <v>$250-500M</v>
      </c>
    </row>
    <row r="85" customFormat="false" ht="35.05" hidden="false" customHeight="false" outlineLevel="0" collapsed="false">
      <c r="A85" s="12" t="s">
        <v>277</v>
      </c>
      <c r="B85" s="13" t="s">
        <v>278</v>
      </c>
      <c r="C85" s="14" t="n">
        <v>327.89</v>
      </c>
      <c r="D85" s="15" t="s">
        <v>12</v>
      </c>
      <c r="E85" s="13" t="s">
        <v>173</v>
      </c>
      <c r="F85" s="13" t="s">
        <v>174</v>
      </c>
      <c r="G85" s="13"/>
      <c r="H85" s="16" t="s">
        <v>63</v>
      </c>
      <c r="I85" s="15" t="n">
        <v>2</v>
      </c>
      <c r="J85" s="15" t="n">
        <v>3</v>
      </c>
      <c r="K85" s="15" t="n">
        <f aca="false">IF(C85&gt;=50,1,0)</f>
        <v>1</v>
      </c>
      <c r="L85" s="17" t="n">
        <f aca="false">IF(H85="0 (checked)",2,IF(H85="Unverified",1,IF(H85="1 (checked)",0.5,0)))</f>
        <v>1</v>
      </c>
      <c r="M85" s="17" t="n">
        <f aca="false">I85+J85+K85+L85</f>
        <v>7</v>
      </c>
      <c r="N85" s="15" t="str">
        <f aca="false">IF(C85&lt;25,"Nano (&lt;$25M)",IF(C85&lt;100,"$25-100M",IF(C85&lt;250,"$100-250M","$250-500M")))</f>
        <v>$250-500M</v>
      </c>
    </row>
    <row r="86" customFormat="false" ht="35.05" hidden="false" customHeight="false" outlineLevel="0" collapsed="false">
      <c r="A86" s="12" t="s">
        <v>279</v>
      </c>
      <c r="B86" s="13" t="s">
        <v>280</v>
      </c>
      <c r="C86" s="14" t="n">
        <v>325.69</v>
      </c>
      <c r="D86" s="15" t="s">
        <v>12</v>
      </c>
      <c r="E86" s="13" t="s">
        <v>173</v>
      </c>
      <c r="F86" s="13" t="s">
        <v>174</v>
      </c>
      <c r="G86" s="13"/>
      <c r="H86" s="16" t="s">
        <v>63</v>
      </c>
      <c r="I86" s="15" t="n">
        <v>2</v>
      </c>
      <c r="J86" s="15" t="n">
        <v>3</v>
      </c>
      <c r="K86" s="15" t="n">
        <f aca="false">IF(C86&gt;=50,1,0)</f>
        <v>1</v>
      </c>
      <c r="L86" s="17" t="n">
        <f aca="false">IF(H86="0 (checked)",2,IF(H86="Unverified",1,IF(H86="1 (checked)",0.5,0)))</f>
        <v>1</v>
      </c>
      <c r="M86" s="17" t="n">
        <f aca="false">I86+J86+K86+L86</f>
        <v>7</v>
      </c>
      <c r="N86" s="15" t="str">
        <f aca="false">IF(C86&lt;25,"Nano (&lt;$25M)",IF(C86&lt;100,"$25-100M",IF(C86&lt;250,"$100-250M","$250-500M")))</f>
        <v>$250-500M</v>
      </c>
    </row>
    <row r="87" customFormat="false" ht="35.05" hidden="false" customHeight="false" outlineLevel="0" collapsed="false">
      <c r="A87" s="12" t="s">
        <v>281</v>
      </c>
      <c r="B87" s="13" t="s">
        <v>282</v>
      </c>
      <c r="C87" s="14" t="n">
        <v>321</v>
      </c>
      <c r="D87" s="15" t="s">
        <v>12</v>
      </c>
      <c r="E87" s="13" t="s">
        <v>173</v>
      </c>
      <c r="F87" s="13" t="s">
        <v>174</v>
      </c>
      <c r="G87" s="13"/>
      <c r="H87" s="16" t="s">
        <v>63</v>
      </c>
      <c r="I87" s="15" t="n">
        <v>2</v>
      </c>
      <c r="J87" s="15" t="n">
        <v>3</v>
      </c>
      <c r="K87" s="15" t="n">
        <f aca="false">IF(C87&gt;=50,1,0)</f>
        <v>1</v>
      </c>
      <c r="L87" s="17" t="n">
        <f aca="false">IF(H87="0 (checked)",2,IF(H87="Unverified",1,IF(H87="1 (checked)",0.5,0)))</f>
        <v>1</v>
      </c>
      <c r="M87" s="17" t="n">
        <f aca="false">I87+J87+K87+L87</f>
        <v>7</v>
      </c>
      <c r="N87" s="15" t="str">
        <f aca="false">IF(C87&lt;25,"Nano (&lt;$25M)",IF(C87&lt;100,"$25-100M",IF(C87&lt;250,"$100-250M","$250-500M")))</f>
        <v>$250-500M</v>
      </c>
    </row>
    <row r="88" customFormat="false" ht="35.05" hidden="false" customHeight="false" outlineLevel="0" collapsed="false">
      <c r="A88" s="12" t="s">
        <v>283</v>
      </c>
      <c r="B88" s="13" t="s">
        <v>284</v>
      </c>
      <c r="C88" s="14" t="n">
        <v>318.95</v>
      </c>
      <c r="D88" s="15" t="s">
        <v>12</v>
      </c>
      <c r="E88" s="13" t="s">
        <v>173</v>
      </c>
      <c r="F88" s="13" t="s">
        <v>174</v>
      </c>
      <c r="G88" s="13"/>
      <c r="H88" s="16" t="s">
        <v>63</v>
      </c>
      <c r="I88" s="15" t="n">
        <v>2</v>
      </c>
      <c r="J88" s="15" t="n">
        <v>3</v>
      </c>
      <c r="K88" s="15" t="n">
        <f aca="false">IF(C88&gt;=50,1,0)</f>
        <v>1</v>
      </c>
      <c r="L88" s="17" t="n">
        <f aca="false">IF(H88="0 (checked)",2,IF(H88="Unverified",1,IF(H88="1 (checked)",0.5,0)))</f>
        <v>1</v>
      </c>
      <c r="M88" s="17" t="n">
        <f aca="false">I88+J88+K88+L88</f>
        <v>7</v>
      </c>
      <c r="N88" s="15" t="str">
        <f aca="false">IF(C88&lt;25,"Nano (&lt;$25M)",IF(C88&lt;100,"$25-100M",IF(C88&lt;250,"$100-250M","$250-500M")))</f>
        <v>$250-500M</v>
      </c>
    </row>
    <row r="89" customFormat="false" ht="35.05" hidden="false" customHeight="false" outlineLevel="0" collapsed="false">
      <c r="A89" s="12" t="s">
        <v>285</v>
      </c>
      <c r="B89" s="13" t="s">
        <v>286</v>
      </c>
      <c r="C89" s="14" t="n">
        <v>318.15</v>
      </c>
      <c r="D89" s="15" t="s">
        <v>12</v>
      </c>
      <c r="E89" s="13" t="s">
        <v>173</v>
      </c>
      <c r="F89" s="13" t="s">
        <v>174</v>
      </c>
      <c r="G89" s="13"/>
      <c r="H89" s="16" t="s">
        <v>63</v>
      </c>
      <c r="I89" s="15" t="n">
        <v>2</v>
      </c>
      <c r="J89" s="15" t="n">
        <v>3</v>
      </c>
      <c r="K89" s="15" t="n">
        <f aca="false">IF(C89&gt;=50,1,0)</f>
        <v>1</v>
      </c>
      <c r="L89" s="17" t="n">
        <f aca="false">IF(H89="0 (checked)",2,IF(H89="Unverified",1,IF(H89="1 (checked)",0.5,0)))</f>
        <v>1</v>
      </c>
      <c r="M89" s="17" t="n">
        <f aca="false">I89+J89+K89+L89</f>
        <v>7</v>
      </c>
      <c r="N89" s="15" t="str">
        <f aca="false">IF(C89&lt;25,"Nano (&lt;$25M)",IF(C89&lt;100,"$25-100M",IF(C89&lt;250,"$100-250M","$250-500M")))</f>
        <v>$250-500M</v>
      </c>
    </row>
    <row r="90" customFormat="false" ht="35.05" hidden="false" customHeight="false" outlineLevel="0" collapsed="false">
      <c r="A90" s="12" t="s">
        <v>287</v>
      </c>
      <c r="B90" s="13" t="s">
        <v>288</v>
      </c>
      <c r="C90" s="14" t="n">
        <v>313.88</v>
      </c>
      <c r="D90" s="15" t="s">
        <v>22</v>
      </c>
      <c r="E90" s="13" t="s">
        <v>267</v>
      </c>
      <c r="F90" s="13" t="s">
        <v>268</v>
      </c>
      <c r="G90" s="13"/>
      <c r="H90" s="16" t="s">
        <v>63</v>
      </c>
      <c r="I90" s="15" t="n">
        <v>2</v>
      </c>
      <c r="J90" s="15" t="n">
        <v>3</v>
      </c>
      <c r="K90" s="15" t="n">
        <f aca="false">IF(C90&gt;=50,1,0)</f>
        <v>1</v>
      </c>
      <c r="L90" s="17" t="n">
        <f aca="false">IF(H90="0 (checked)",2,IF(H90="Unverified",1,IF(H90="1 (checked)",0.5,0)))</f>
        <v>1</v>
      </c>
      <c r="M90" s="17" t="n">
        <f aca="false">I90+J90+K90+L90</f>
        <v>7</v>
      </c>
      <c r="N90" s="15" t="str">
        <f aca="false">IF(C90&lt;25,"Nano (&lt;$25M)",IF(C90&lt;100,"$25-100M",IF(C90&lt;250,"$100-250M","$250-500M")))</f>
        <v>$250-500M</v>
      </c>
    </row>
    <row r="91" customFormat="false" ht="35.05" hidden="false" customHeight="false" outlineLevel="0" collapsed="false">
      <c r="A91" s="12" t="s">
        <v>289</v>
      </c>
      <c r="B91" s="13" t="s">
        <v>290</v>
      </c>
      <c r="C91" s="14" t="n">
        <v>306.24</v>
      </c>
      <c r="D91" s="15" t="s">
        <v>12</v>
      </c>
      <c r="E91" s="13" t="s">
        <v>173</v>
      </c>
      <c r="F91" s="13" t="s">
        <v>174</v>
      </c>
      <c r="G91" s="13"/>
      <c r="H91" s="16" t="s">
        <v>63</v>
      </c>
      <c r="I91" s="15" t="n">
        <v>2</v>
      </c>
      <c r="J91" s="15" t="n">
        <v>3</v>
      </c>
      <c r="K91" s="15" t="n">
        <f aca="false">IF(C91&gt;=50,1,0)</f>
        <v>1</v>
      </c>
      <c r="L91" s="17" t="n">
        <f aca="false">IF(H91="0 (checked)",2,IF(H91="Unverified",1,IF(H91="1 (checked)",0.5,0)))</f>
        <v>1</v>
      </c>
      <c r="M91" s="17" t="n">
        <f aca="false">I91+J91+K91+L91</f>
        <v>7</v>
      </c>
      <c r="N91" s="15" t="str">
        <f aca="false">IF(C91&lt;25,"Nano (&lt;$25M)",IF(C91&lt;100,"$25-100M",IF(C91&lt;250,"$100-250M","$250-500M")))</f>
        <v>$250-500M</v>
      </c>
    </row>
    <row r="92" customFormat="false" ht="35.05" hidden="false" customHeight="false" outlineLevel="0" collapsed="false">
      <c r="A92" s="12" t="s">
        <v>291</v>
      </c>
      <c r="B92" s="13" t="s">
        <v>292</v>
      </c>
      <c r="C92" s="14" t="n">
        <v>304.42</v>
      </c>
      <c r="D92" s="15" t="s">
        <v>12</v>
      </c>
      <c r="E92" s="13" t="s">
        <v>173</v>
      </c>
      <c r="F92" s="13" t="s">
        <v>174</v>
      </c>
      <c r="G92" s="13"/>
      <c r="H92" s="16" t="s">
        <v>63</v>
      </c>
      <c r="I92" s="15" t="n">
        <v>2</v>
      </c>
      <c r="J92" s="15" t="n">
        <v>3</v>
      </c>
      <c r="K92" s="15" t="n">
        <f aca="false">IF(C92&gt;=50,1,0)</f>
        <v>1</v>
      </c>
      <c r="L92" s="17" t="n">
        <f aca="false">IF(H92="0 (checked)",2,IF(H92="Unverified",1,IF(H92="1 (checked)",0.5,0)))</f>
        <v>1</v>
      </c>
      <c r="M92" s="17" t="n">
        <f aca="false">I92+J92+K92+L92</f>
        <v>7</v>
      </c>
      <c r="N92" s="15" t="str">
        <f aca="false">IF(C92&lt;25,"Nano (&lt;$25M)",IF(C92&lt;100,"$25-100M",IF(C92&lt;250,"$100-250M","$250-500M")))</f>
        <v>$250-500M</v>
      </c>
    </row>
    <row r="93" customFormat="false" ht="35.05" hidden="false" customHeight="false" outlineLevel="0" collapsed="false">
      <c r="A93" s="12" t="s">
        <v>293</v>
      </c>
      <c r="B93" s="13" t="s">
        <v>294</v>
      </c>
      <c r="C93" s="14" t="n">
        <v>302.72</v>
      </c>
      <c r="D93" s="15" t="s">
        <v>12</v>
      </c>
      <c r="E93" s="13" t="s">
        <v>173</v>
      </c>
      <c r="F93" s="13" t="s">
        <v>174</v>
      </c>
      <c r="G93" s="13"/>
      <c r="H93" s="16" t="s">
        <v>63</v>
      </c>
      <c r="I93" s="15" t="n">
        <v>2</v>
      </c>
      <c r="J93" s="15" t="n">
        <v>3</v>
      </c>
      <c r="K93" s="15" t="n">
        <f aca="false">IF(C93&gt;=50,1,0)</f>
        <v>1</v>
      </c>
      <c r="L93" s="17" t="n">
        <f aca="false">IF(H93="0 (checked)",2,IF(H93="Unverified",1,IF(H93="1 (checked)",0.5,0)))</f>
        <v>1</v>
      </c>
      <c r="M93" s="17" t="n">
        <f aca="false">I93+J93+K93+L93</f>
        <v>7</v>
      </c>
      <c r="N93" s="15" t="str">
        <f aca="false">IF(C93&lt;25,"Nano (&lt;$25M)",IF(C93&lt;100,"$25-100M",IF(C93&lt;250,"$100-250M","$250-500M")))</f>
        <v>$250-500M</v>
      </c>
    </row>
    <row r="94" customFormat="false" ht="35.05" hidden="false" customHeight="false" outlineLevel="0" collapsed="false">
      <c r="A94" s="12" t="s">
        <v>295</v>
      </c>
      <c r="B94" s="13" t="s">
        <v>296</v>
      </c>
      <c r="C94" s="14" t="n">
        <v>296.99</v>
      </c>
      <c r="D94" s="15" t="s">
        <v>12</v>
      </c>
      <c r="E94" s="13" t="s">
        <v>173</v>
      </c>
      <c r="F94" s="13" t="s">
        <v>174</v>
      </c>
      <c r="G94" s="13"/>
      <c r="H94" s="16" t="s">
        <v>63</v>
      </c>
      <c r="I94" s="15" t="n">
        <v>2</v>
      </c>
      <c r="J94" s="15" t="n">
        <v>3</v>
      </c>
      <c r="K94" s="15" t="n">
        <f aca="false">IF(C94&gt;=50,1,0)</f>
        <v>1</v>
      </c>
      <c r="L94" s="17" t="n">
        <f aca="false">IF(H94="0 (checked)",2,IF(H94="Unverified",1,IF(H94="1 (checked)",0.5,0)))</f>
        <v>1</v>
      </c>
      <c r="M94" s="17" t="n">
        <f aca="false">I94+J94+K94+L94</f>
        <v>7</v>
      </c>
      <c r="N94" s="15" t="str">
        <f aca="false">IF(C94&lt;25,"Nano (&lt;$25M)",IF(C94&lt;100,"$25-100M",IF(C94&lt;250,"$100-250M","$250-500M")))</f>
        <v>$250-500M</v>
      </c>
    </row>
    <row r="95" customFormat="false" ht="35.05" hidden="false" customHeight="false" outlineLevel="0" collapsed="false">
      <c r="A95" s="12" t="s">
        <v>297</v>
      </c>
      <c r="B95" s="13" t="s">
        <v>298</v>
      </c>
      <c r="C95" s="14" t="n">
        <v>296.84</v>
      </c>
      <c r="D95" s="15" t="s">
        <v>12</v>
      </c>
      <c r="E95" s="13" t="s">
        <v>173</v>
      </c>
      <c r="F95" s="13" t="s">
        <v>174</v>
      </c>
      <c r="G95" s="13"/>
      <c r="H95" s="16" t="s">
        <v>63</v>
      </c>
      <c r="I95" s="15" t="n">
        <v>2</v>
      </c>
      <c r="J95" s="15" t="n">
        <v>3</v>
      </c>
      <c r="K95" s="15" t="n">
        <f aca="false">IF(C95&gt;=50,1,0)</f>
        <v>1</v>
      </c>
      <c r="L95" s="17" t="n">
        <f aca="false">IF(H95="0 (checked)",2,IF(H95="Unverified",1,IF(H95="1 (checked)",0.5,0)))</f>
        <v>1</v>
      </c>
      <c r="M95" s="17" t="n">
        <f aca="false">I95+J95+K95+L95</f>
        <v>7</v>
      </c>
      <c r="N95" s="15" t="str">
        <f aca="false">IF(C95&lt;25,"Nano (&lt;$25M)",IF(C95&lt;100,"$25-100M",IF(C95&lt;250,"$100-250M","$250-500M")))</f>
        <v>$250-500M</v>
      </c>
    </row>
    <row r="96" customFormat="false" ht="23.85" hidden="false" customHeight="false" outlineLevel="0" collapsed="false">
      <c r="A96" s="12" t="s">
        <v>299</v>
      </c>
      <c r="B96" s="13" t="s">
        <v>300</v>
      </c>
      <c r="C96" s="14" t="n">
        <v>295.07</v>
      </c>
      <c r="D96" s="15" t="s">
        <v>24</v>
      </c>
      <c r="E96" s="13" t="s">
        <v>225</v>
      </c>
      <c r="F96" s="13" t="s">
        <v>226</v>
      </c>
      <c r="G96" s="13" t="s">
        <v>301</v>
      </c>
      <c r="H96" s="16" t="s">
        <v>63</v>
      </c>
      <c r="I96" s="15" t="n">
        <v>3</v>
      </c>
      <c r="J96" s="15" t="n">
        <v>2</v>
      </c>
      <c r="K96" s="15" t="n">
        <f aca="false">IF(C96&gt;=50,1,0)</f>
        <v>1</v>
      </c>
      <c r="L96" s="17" t="n">
        <f aca="false">IF(H96="0 (checked)",2,IF(H96="Unverified",1,IF(H96="1 (checked)",0.5,0)))</f>
        <v>1</v>
      </c>
      <c r="M96" s="17" t="n">
        <f aca="false">I96+J96+K96+L96</f>
        <v>7</v>
      </c>
      <c r="N96" s="15" t="str">
        <f aca="false">IF(C96&lt;25,"Nano (&lt;$25M)",IF(C96&lt;100,"$25-100M",IF(C96&lt;250,"$100-250M","$250-500M")))</f>
        <v>$250-500M</v>
      </c>
    </row>
    <row r="97" customFormat="false" ht="23.85" hidden="false" customHeight="false" outlineLevel="0" collapsed="false">
      <c r="A97" s="12" t="s">
        <v>302</v>
      </c>
      <c r="B97" s="13" t="s">
        <v>303</v>
      </c>
      <c r="C97" s="14" t="n">
        <v>289.84</v>
      </c>
      <c r="D97" s="15" t="s">
        <v>15</v>
      </c>
      <c r="E97" s="13" t="s">
        <v>48</v>
      </c>
      <c r="F97" s="13" t="s">
        <v>49</v>
      </c>
      <c r="G97" s="13" t="s">
        <v>304</v>
      </c>
      <c r="H97" s="16" t="s">
        <v>305</v>
      </c>
      <c r="I97" s="15" t="n">
        <v>3</v>
      </c>
      <c r="J97" s="15" t="n">
        <v>3</v>
      </c>
      <c r="K97" s="15" t="n">
        <f aca="false">IF(C97&gt;=50,1,0)</f>
        <v>1</v>
      </c>
      <c r="L97" s="17" t="n">
        <f aca="false">IF(H97="0 (checked)",2,IF(H97="Unverified",1,IF(H97="1 (checked)",0.5,0)))</f>
        <v>0</v>
      </c>
      <c r="M97" s="17" t="n">
        <f aca="false">I97+J97+K97+L97</f>
        <v>7</v>
      </c>
      <c r="N97" s="15" t="str">
        <f aca="false">IF(C97&lt;25,"Nano (&lt;$25M)",IF(C97&lt;100,"$25-100M",IF(C97&lt;250,"$100-250M","$250-500M")))</f>
        <v>$250-500M</v>
      </c>
    </row>
    <row r="98" customFormat="false" ht="23.85" hidden="false" customHeight="false" outlineLevel="0" collapsed="false">
      <c r="A98" s="12" t="s">
        <v>306</v>
      </c>
      <c r="B98" s="13" t="s">
        <v>307</v>
      </c>
      <c r="C98" s="14" t="n">
        <v>289.6</v>
      </c>
      <c r="D98" s="15" t="s">
        <v>14</v>
      </c>
      <c r="E98" s="13" t="s">
        <v>214</v>
      </c>
      <c r="F98" s="13" t="s">
        <v>215</v>
      </c>
      <c r="G98" s="13" t="s">
        <v>308</v>
      </c>
      <c r="H98" s="16" t="s">
        <v>63</v>
      </c>
      <c r="I98" s="15" t="n">
        <v>3</v>
      </c>
      <c r="J98" s="15" t="n">
        <v>2</v>
      </c>
      <c r="K98" s="15" t="n">
        <f aca="false">IF(C98&gt;=50,1,0)</f>
        <v>1</v>
      </c>
      <c r="L98" s="17" t="n">
        <f aca="false">IF(H98="0 (checked)",2,IF(H98="Unverified",1,IF(H98="1 (checked)",0.5,0)))</f>
        <v>1</v>
      </c>
      <c r="M98" s="17" t="n">
        <f aca="false">I98+J98+K98+L98</f>
        <v>7</v>
      </c>
      <c r="N98" s="15" t="str">
        <f aca="false">IF(C98&lt;25,"Nano (&lt;$25M)",IF(C98&lt;100,"$25-100M",IF(C98&lt;250,"$100-250M","$250-500M")))</f>
        <v>$250-500M</v>
      </c>
    </row>
    <row r="99" customFormat="false" ht="35.05" hidden="false" customHeight="false" outlineLevel="0" collapsed="false">
      <c r="A99" s="12" t="s">
        <v>309</v>
      </c>
      <c r="B99" s="13" t="s">
        <v>310</v>
      </c>
      <c r="C99" s="14" t="n">
        <v>289.31</v>
      </c>
      <c r="D99" s="15" t="s">
        <v>12</v>
      </c>
      <c r="E99" s="13" t="s">
        <v>173</v>
      </c>
      <c r="F99" s="13" t="s">
        <v>174</v>
      </c>
      <c r="G99" s="13"/>
      <c r="H99" s="16" t="s">
        <v>63</v>
      </c>
      <c r="I99" s="15" t="n">
        <v>2</v>
      </c>
      <c r="J99" s="15" t="n">
        <v>3</v>
      </c>
      <c r="K99" s="15" t="n">
        <f aca="false">IF(C99&gt;=50,1,0)</f>
        <v>1</v>
      </c>
      <c r="L99" s="17" t="n">
        <f aca="false">IF(H99="0 (checked)",2,IF(H99="Unverified",1,IF(H99="1 (checked)",0.5,0)))</f>
        <v>1</v>
      </c>
      <c r="M99" s="17" t="n">
        <f aca="false">I99+J99+K99+L99</f>
        <v>7</v>
      </c>
      <c r="N99" s="15" t="str">
        <f aca="false">IF(C99&lt;25,"Nano (&lt;$25M)",IF(C99&lt;100,"$25-100M",IF(C99&lt;250,"$100-250M","$250-500M")))</f>
        <v>$250-500M</v>
      </c>
    </row>
    <row r="100" customFormat="false" ht="35.05" hidden="false" customHeight="false" outlineLevel="0" collapsed="false">
      <c r="A100" s="12" t="s">
        <v>311</v>
      </c>
      <c r="B100" s="13" t="s">
        <v>312</v>
      </c>
      <c r="C100" s="14" t="n">
        <v>286.69</v>
      </c>
      <c r="D100" s="15" t="s">
        <v>12</v>
      </c>
      <c r="E100" s="13" t="s">
        <v>173</v>
      </c>
      <c r="F100" s="13" t="s">
        <v>174</v>
      </c>
      <c r="G100" s="13"/>
      <c r="H100" s="16" t="s">
        <v>63</v>
      </c>
      <c r="I100" s="15" t="n">
        <v>2</v>
      </c>
      <c r="J100" s="15" t="n">
        <v>3</v>
      </c>
      <c r="K100" s="15" t="n">
        <f aca="false">IF(C100&gt;=50,1,0)</f>
        <v>1</v>
      </c>
      <c r="L100" s="17" t="n">
        <f aca="false">IF(H100="0 (checked)",2,IF(H100="Unverified",1,IF(H100="1 (checked)",0.5,0)))</f>
        <v>1</v>
      </c>
      <c r="M100" s="17" t="n">
        <f aca="false">I100+J100+K100+L100</f>
        <v>7</v>
      </c>
      <c r="N100" s="15" t="str">
        <f aca="false">IF(C100&lt;25,"Nano (&lt;$25M)",IF(C100&lt;100,"$25-100M",IF(C100&lt;250,"$100-250M","$250-500M")))</f>
        <v>$250-500M</v>
      </c>
    </row>
    <row r="101" customFormat="false" ht="35.05" hidden="false" customHeight="false" outlineLevel="0" collapsed="false">
      <c r="A101" s="12" t="s">
        <v>313</v>
      </c>
      <c r="B101" s="13" t="s">
        <v>314</v>
      </c>
      <c r="C101" s="14" t="n">
        <v>286.55</v>
      </c>
      <c r="D101" s="15" t="s">
        <v>12</v>
      </c>
      <c r="E101" s="13" t="s">
        <v>173</v>
      </c>
      <c r="F101" s="13" t="s">
        <v>174</v>
      </c>
      <c r="G101" s="13"/>
      <c r="H101" s="16" t="s">
        <v>63</v>
      </c>
      <c r="I101" s="15" t="n">
        <v>2</v>
      </c>
      <c r="J101" s="15" t="n">
        <v>3</v>
      </c>
      <c r="K101" s="15" t="n">
        <f aca="false">IF(C101&gt;=50,1,0)</f>
        <v>1</v>
      </c>
      <c r="L101" s="17" t="n">
        <f aca="false">IF(H101="0 (checked)",2,IF(H101="Unverified",1,IF(H101="1 (checked)",0.5,0)))</f>
        <v>1</v>
      </c>
      <c r="M101" s="17" t="n">
        <f aca="false">I101+J101+K101+L101</f>
        <v>7</v>
      </c>
      <c r="N101" s="15" t="str">
        <f aca="false">IF(C101&lt;25,"Nano (&lt;$25M)",IF(C101&lt;100,"$25-100M",IF(C101&lt;250,"$100-250M","$250-500M")))</f>
        <v>$250-500M</v>
      </c>
    </row>
    <row r="102" customFormat="false" ht="35.05" hidden="false" customHeight="false" outlineLevel="0" collapsed="false">
      <c r="A102" s="12" t="s">
        <v>315</v>
      </c>
      <c r="B102" s="13" t="s">
        <v>316</v>
      </c>
      <c r="C102" s="14" t="n">
        <v>286.44</v>
      </c>
      <c r="D102" s="15" t="s">
        <v>12</v>
      </c>
      <c r="E102" s="13" t="s">
        <v>173</v>
      </c>
      <c r="F102" s="13" t="s">
        <v>174</v>
      </c>
      <c r="G102" s="13"/>
      <c r="H102" s="16" t="s">
        <v>63</v>
      </c>
      <c r="I102" s="15" t="n">
        <v>2</v>
      </c>
      <c r="J102" s="15" t="n">
        <v>3</v>
      </c>
      <c r="K102" s="15" t="n">
        <f aca="false">IF(C102&gt;=50,1,0)</f>
        <v>1</v>
      </c>
      <c r="L102" s="17" t="n">
        <f aca="false">IF(H102="0 (checked)",2,IF(H102="Unverified",1,IF(H102="1 (checked)",0.5,0)))</f>
        <v>1</v>
      </c>
      <c r="M102" s="17" t="n">
        <f aca="false">I102+J102+K102+L102</f>
        <v>7</v>
      </c>
      <c r="N102" s="15" t="str">
        <f aca="false">IF(C102&lt;25,"Nano (&lt;$25M)",IF(C102&lt;100,"$25-100M",IF(C102&lt;250,"$100-250M","$250-500M")))</f>
        <v>$250-500M</v>
      </c>
    </row>
    <row r="103" customFormat="false" ht="35.05" hidden="false" customHeight="false" outlineLevel="0" collapsed="false">
      <c r="A103" s="12" t="s">
        <v>317</v>
      </c>
      <c r="B103" s="13" t="s">
        <v>318</v>
      </c>
      <c r="C103" s="14" t="n">
        <v>284.73</v>
      </c>
      <c r="D103" s="15" t="s">
        <v>12</v>
      </c>
      <c r="E103" s="13" t="s">
        <v>173</v>
      </c>
      <c r="F103" s="13" t="s">
        <v>174</v>
      </c>
      <c r="G103" s="13"/>
      <c r="H103" s="16" t="s">
        <v>63</v>
      </c>
      <c r="I103" s="15" t="n">
        <v>2</v>
      </c>
      <c r="J103" s="15" t="n">
        <v>3</v>
      </c>
      <c r="K103" s="15" t="n">
        <f aca="false">IF(C103&gt;=50,1,0)</f>
        <v>1</v>
      </c>
      <c r="L103" s="17" t="n">
        <f aca="false">IF(H103="0 (checked)",2,IF(H103="Unverified",1,IF(H103="1 (checked)",0.5,0)))</f>
        <v>1</v>
      </c>
      <c r="M103" s="17" t="n">
        <f aca="false">I103+J103+K103+L103</f>
        <v>7</v>
      </c>
      <c r="N103" s="15" t="str">
        <f aca="false">IF(C103&lt;25,"Nano (&lt;$25M)",IF(C103&lt;100,"$25-100M",IF(C103&lt;250,"$100-250M","$250-500M")))</f>
        <v>$250-500M</v>
      </c>
    </row>
    <row r="104" customFormat="false" ht="35.05" hidden="false" customHeight="false" outlineLevel="0" collapsed="false">
      <c r="A104" s="12" t="s">
        <v>319</v>
      </c>
      <c r="B104" s="13" t="s">
        <v>320</v>
      </c>
      <c r="C104" s="14" t="n">
        <v>283.15</v>
      </c>
      <c r="D104" s="15" t="s">
        <v>12</v>
      </c>
      <c r="E104" s="13" t="s">
        <v>173</v>
      </c>
      <c r="F104" s="13" t="s">
        <v>174</v>
      </c>
      <c r="G104" s="13"/>
      <c r="H104" s="16" t="s">
        <v>63</v>
      </c>
      <c r="I104" s="15" t="n">
        <v>2</v>
      </c>
      <c r="J104" s="15" t="n">
        <v>3</v>
      </c>
      <c r="K104" s="15" t="n">
        <f aca="false">IF(C104&gt;=50,1,0)</f>
        <v>1</v>
      </c>
      <c r="L104" s="17" t="n">
        <f aca="false">IF(H104="0 (checked)",2,IF(H104="Unverified",1,IF(H104="1 (checked)",0.5,0)))</f>
        <v>1</v>
      </c>
      <c r="M104" s="17" t="n">
        <f aca="false">I104+J104+K104+L104</f>
        <v>7</v>
      </c>
      <c r="N104" s="15" t="str">
        <f aca="false">IF(C104&lt;25,"Nano (&lt;$25M)",IF(C104&lt;100,"$25-100M",IF(C104&lt;250,"$100-250M","$250-500M")))</f>
        <v>$250-500M</v>
      </c>
    </row>
    <row r="105" customFormat="false" ht="35.05" hidden="false" customHeight="false" outlineLevel="0" collapsed="false">
      <c r="A105" s="12" t="s">
        <v>321</v>
      </c>
      <c r="B105" s="13" t="s">
        <v>322</v>
      </c>
      <c r="C105" s="14" t="n">
        <v>279.53</v>
      </c>
      <c r="D105" s="15" t="s">
        <v>12</v>
      </c>
      <c r="E105" s="13" t="s">
        <v>173</v>
      </c>
      <c r="F105" s="13" t="s">
        <v>174</v>
      </c>
      <c r="G105" s="13"/>
      <c r="H105" s="16" t="s">
        <v>63</v>
      </c>
      <c r="I105" s="15" t="n">
        <v>2</v>
      </c>
      <c r="J105" s="15" t="n">
        <v>3</v>
      </c>
      <c r="K105" s="15" t="n">
        <f aca="false">IF(C105&gt;=50,1,0)</f>
        <v>1</v>
      </c>
      <c r="L105" s="17" t="n">
        <f aca="false">IF(H105="0 (checked)",2,IF(H105="Unverified",1,IF(H105="1 (checked)",0.5,0)))</f>
        <v>1</v>
      </c>
      <c r="M105" s="17" t="n">
        <f aca="false">I105+J105+K105+L105</f>
        <v>7</v>
      </c>
      <c r="N105" s="15" t="str">
        <f aca="false">IF(C105&lt;25,"Nano (&lt;$25M)",IF(C105&lt;100,"$25-100M",IF(C105&lt;250,"$100-250M","$250-500M")))</f>
        <v>$250-500M</v>
      </c>
    </row>
    <row r="106" customFormat="false" ht="35.05" hidden="false" customHeight="false" outlineLevel="0" collapsed="false">
      <c r="A106" s="12" t="s">
        <v>323</v>
      </c>
      <c r="B106" s="13" t="s">
        <v>324</v>
      </c>
      <c r="C106" s="14" t="n">
        <v>279.51</v>
      </c>
      <c r="D106" s="15" t="s">
        <v>12</v>
      </c>
      <c r="E106" s="13" t="s">
        <v>173</v>
      </c>
      <c r="F106" s="13" t="s">
        <v>174</v>
      </c>
      <c r="G106" s="13"/>
      <c r="H106" s="16" t="s">
        <v>63</v>
      </c>
      <c r="I106" s="15" t="n">
        <v>2</v>
      </c>
      <c r="J106" s="15" t="n">
        <v>3</v>
      </c>
      <c r="K106" s="15" t="n">
        <f aca="false">IF(C106&gt;=50,1,0)</f>
        <v>1</v>
      </c>
      <c r="L106" s="17" t="n">
        <f aca="false">IF(H106="0 (checked)",2,IF(H106="Unverified",1,IF(H106="1 (checked)",0.5,0)))</f>
        <v>1</v>
      </c>
      <c r="M106" s="17" t="n">
        <f aca="false">I106+J106+K106+L106</f>
        <v>7</v>
      </c>
      <c r="N106" s="15" t="str">
        <f aca="false">IF(C106&lt;25,"Nano (&lt;$25M)",IF(C106&lt;100,"$25-100M",IF(C106&lt;250,"$100-250M","$250-500M")))</f>
        <v>$250-500M</v>
      </c>
    </row>
    <row r="107" customFormat="false" ht="23.85" hidden="false" customHeight="false" outlineLevel="0" collapsed="false">
      <c r="A107" s="12" t="s">
        <v>325</v>
      </c>
      <c r="B107" s="13" t="s">
        <v>326</v>
      </c>
      <c r="C107" s="14" t="n">
        <v>276.9</v>
      </c>
      <c r="D107" s="15" t="s">
        <v>26</v>
      </c>
      <c r="E107" s="13" t="s">
        <v>327</v>
      </c>
      <c r="F107" s="13" t="s">
        <v>328</v>
      </c>
      <c r="G107" s="13" t="s">
        <v>329</v>
      </c>
      <c r="H107" s="16" t="s">
        <v>63</v>
      </c>
      <c r="I107" s="15" t="n">
        <v>3</v>
      </c>
      <c r="J107" s="15" t="n">
        <v>2</v>
      </c>
      <c r="K107" s="15" t="n">
        <f aca="false">IF(C107&gt;=50,1,0)</f>
        <v>1</v>
      </c>
      <c r="L107" s="17" t="n">
        <f aca="false">IF(H107="0 (checked)",2,IF(H107="Unverified",1,IF(H107="1 (checked)",0.5,0)))</f>
        <v>1</v>
      </c>
      <c r="M107" s="17" t="n">
        <f aca="false">I107+J107+K107+L107</f>
        <v>7</v>
      </c>
      <c r="N107" s="15" t="str">
        <f aca="false">IF(C107&lt;25,"Nano (&lt;$25M)",IF(C107&lt;100,"$25-100M",IF(C107&lt;250,"$100-250M","$250-500M")))</f>
        <v>$250-500M</v>
      </c>
    </row>
    <row r="108" customFormat="false" ht="35.05" hidden="false" customHeight="false" outlineLevel="0" collapsed="false">
      <c r="A108" s="12" t="s">
        <v>330</v>
      </c>
      <c r="B108" s="13" t="s">
        <v>331</v>
      </c>
      <c r="C108" s="14" t="n">
        <v>275.06</v>
      </c>
      <c r="D108" s="15" t="s">
        <v>12</v>
      </c>
      <c r="E108" s="13" t="s">
        <v>173</v>
      </c>
      <c r="F108" s="13" t="s">
        <v>174</v>
      </c>
      <c r="G108" s="13"/>
      <c r="H108" s="16" t="s">
        <v>63</v>
      </c>
      <c r="I108" s="15" t="n">
        <v>2</v>
      </c>
      <c r="J108" s="15" t="n">
        <v>3</v>
      </c>
      <c r="K108" s="15" t="n">
        <f aca="false">IF(C108&gt;=50,1,0)</f>
        <v>1</v>
      </c>
      <c r="L108" s="17" t="n">
        <f aca="false">IF(H108="0 (checked)",2,IF(H108="Unverified",1,IF(H108="1 (checked)",0.5,0)))</f>
        <v>1</v>
      </c>
      <c r="M108" s="17" t="n">
        <f aca="false">I108+J108+K108+L108</f>
        <v>7</v>
      </c>
      <c r="N108" s="15" t="str">
        <f aca="false">IF(C108&lt;25,"Nano (&lt;$25M)",IF(C108&lt;100,"$25-100M",IF(C108&lt;250,"$100-250M","$250-500M")))</f>
        <v>$250-500M</v>
      </c>
    </row>
    <row r="109" customFormat="false" ht="35.05" hidden="false" customHeight="false" outlineLevel="0" collapsed="false">
      <c r="A109" s="12" t="s">
        <v>332</v>
      </c>
      <c r="B109" s="13" t="s">
        <v>333</v>
      </c>
      <c r="C109" s="14" t="n">
        <v>273.7</v>
      </c>
      <c r="D109" s="15" t="s">
        <v>12</v>
      </c>
      <c r="E109" s="13" t="s">
        <v>173</v>
      </c>
      <c r="F109" s="13" t="s">
        <v>174</v>
      </c>
      <c r="G109" s="13" t="s">
        <v>334</v>
      </c>
      <c r="H109" s="16" t="s">
        <v>63</v>
      </c>
      <c r="I109" s="15" t="n">
        <v>2</v>
      </c>
      <c r="J109" s="15" t="n">
        <v>3</v>
      </c>
      <c r="K109" s="15" t="n">
        <f aca="false">IF(C109&gt;=50,1,0)</f>
        <v>1</v>
      </c>
      <c r="L109" s="17" t="n">
        <f aca="false">IF(H109="0 (checked)",2,IF(H109="Unverified",1,IF(H109="1 (checked)",0.5,0)))</f>
        <v>1</v>
      </c>
      <c r="M109" s="17" t="n">
        <f aca="false">I109+J109+K109+L109</f>
        <v>7</v>
      </c>
      <c r="N109" s="15" t="str">
        <f aca="false">IF(C109&lt;25,"Nano (&lt;$25M)",IF(C109&lt;100,"$25-100M",IF(C109&lt;250,"$100-250M","$250-500M")))</f>
        <v>$250-500M</v>
      </c>
    </row>
    <row r="110" customFormat="false" ht="35.05" hidden="false" customHeight="false" outlineLevel="0" collapsed="false">
      <c r="A110" s="12" t="s">
        <v>335</v>
      </c>
      <c r="B110" s="13" t="s">
        <v>336</v>
      </c>
      <c r="C110" s="14" t="n">
        <v>271.08</v>
      </c>
      <c r="D110" s="15" t="s">
        <v>12</v>
      </c>
      <c r="E110" s="13" t="s">
        <v>173</v>
      </c>
      <c r="F110" s="13" t="s">
        <v>174</v>
      </c>
      <c r="G110" s="13"/>
      <c r="H110" s="16" t="s">
        <v>63</v>
      </c>
      <c r="I110" s="15" t="n">
        <v>2</v>
      </c>
      <c r="J110" s="15" t="n">
        <v>3</v>
      </c>
      <c r="K110" s="15" t="n">
        <f aca="false">IF(C110&gt;=50,1,0)</f>
        <v>1</v>
      </c>
      <c r="L110" s="17" t="n">
        <f aca="false">IF(H110="0 (checked)",2,IF(H110="Unverified",1,IF(H110="1 (checked)",0.5,0)))</f>
        <v>1</v>
      </c>
      <c r="M110" s="17" t="n">
        <f aca="false">I110+J110+K110+L110</f>
        <v>7</v>
      </c>
      <c r="N110" s="15" t="str">
        <f aca="false">IF(C110&lt;25,"Nano (&lt;$25M)",IF(C110&lt;100,"$25-100M",IF(C110&lt;250,"$100-250M","$250-500M")))</f>
        <v>$250-500M</v>
      </c>
    </row>
    <row r="111" customFormat="false" ht="35.05" hidden="false" customHeight="false" outlineLevel="0" collapsed="false">
      <c r="A111" s="12" t="s">
        <v>337</v>
      </c>
      <c r="B111" s="13" t="s">
        <v>338</v>
      </c>
      <c r="C111" s="14" t="n">
        <v>270.43</v>
      </c>
      <c r="D111" s="15" t="s">
        <v>12</v>
      </c>
      <c r="E111" s="13" t="s">
        <v>173</v>
      </c>
      <c r="F111" s="13" t="s">
        <v>174</v>
      </c>
      <c r="G111" s="13"/>
      <c r="H111" s="16" t="s">
        <v>63</v>
      </c>
      <c r="I111" s="15" t="n">
        <v>2</v>
      </c>
      <c r="J111" s="15" t="n">
        <v>3</v>
      </c>
      <c r="K111" s="15" t="n">
        <f aca="false">IF(C111&gt;=50,1,0)</f>
        <v>1</v>
      </c>
      <c r="L111" s="17" t="n">
        <f aca="false">IF(H111="0 (checked)",2,IF(H111="Unverified",1,IF(H111="1 (checked)",0.5,0)))</f>
        <v>1</v>
      </c>
      <c r="M111" s="17" t="n">
        <f aca="false">I111+J111+K111+L111</f>
        <v>7</v>
      </c>
      <c r="N111" s="15" t="str">
        <f aca="false">IF(C111&lt;25,"Nano (&lt;$25M)",IF(C111&lt;100,"$25-100M",IF(C111&lt;250,"$100-250M","$250-500M")))</f>
        <v>$250-500M</v>
      </c>
    </row>
    <row r="112" customFormat="false" ht="23.85" hidden="false" customHeight="false" outlineLevel="0" collapsed="false">
      <c r="A112" s="12" t="s">
        <v>339</v>
      </c>
      <c r="B112" s="13" t="s">
        <v>340</v>
      </c>
      <c r="C112" s="14" t="n">
        <v>268.44</v>
      </c>
      <c r="D112" s="15" t="s">
        <v>24</v>
      </c>
      <c r="E112" s="13" t="s">
        <v>225</v>
      </c>
      <c r="F112" s="13" t="s">
        <v>226</v>
      </c>
      <c r="G112" s="13" t="s">
        <v>341</v>
      </c>
      <c r="H112" s="16" t="s">
        <v>63</v>
      </c>
      <c r="I112" s="15" t="n">
        <v>3</v>
      </c>
      <c r="J112" s="15" t="n">
        <v>2</v>
      </c>
      <c r="K112" s="15" t="n">
        <f aca="false">IF(C112&gt;=50,1,0)</f>
        <v>1</v>
      </c>
      <c r="L112" s="17" t="n">
        <f aca="false">IF(H112="0 (checked)",2,IF(H112="Unverified",1,IF(H112="1 (checked)",0.5,0)))</f>
        <v>1</v>
      </c>
      <c r="M112" s="17" t="n">
        <f aca="false">I112+J112+K112+L112</f>
        <v>7</v>
      </c>
      <c r="N112" s="15" t="str">
        <f aca="false">IF(C112&lt;25,"Nano (&lt;$25M)",IF(C112&lt;100,"$25-100M",IF(C112&lt;250,"$100-250M","$250-500M")))</f>
        <v>$250-500M</v>
      </c>
    </row>
    <row r="113" customFormat="false" ht="35.05" hidden="false" customHeight="false" outlineLevel="0" collapsed="false">
      <c r="A113" s="12" t="s">
        <v>342</v>
      </c>
      <c r="B113" s="13" t="s">
        <v>343</v>
      </c>
      <c r="C113" s="14" t="n">
        <v>259.87</v>
      </c>
      <c r="D113" s="15" t="s">
        <v>12</v>
      </c>
      <c r="E113" s="13" t="s">
        <v>173</v>
      </c>
      <c r="F113" s="13" t="s">
        <v>174</v>
      </c>
      <c r="G113" s="13"/>
      <c r="H113" s="16" t="s">
        <v>63</v>
      </c>
      <c r="I113" s="15" t="n">
        <v>2</v>
      </c>
      <c r="J113" s="15" t="n">
        <v>3</v>
      </c>
      <c r="K113" s="15" t="n">
        <f aca="false">IF(C113&gt;=50,1,0)</f>
        <v>1</v>
      </c>
      <c r="L113" s="17" t="n">
        <f aca="false">IF(H113="0 (checked)",2,IF(H113="Unverified",1,IF(H113="1 (checked)",0.5,0)))</f>
        <v>1</v>
      </c>
      <c r="M113" s="17" t="n">
        <f aca="false">I113+J113+K113+L113</f>
        <v>7</v>
      </c>
      <c r="N113" s="15" t="str">
        <f aca="false">IF(C113&lt;25,"Nano (&lt;$25M)",IF(C113&lt;100,"$25-100M",IF(C113&lt;250,"$100-250M","$250-500M")))</f>
        <v>$250-500M</v>
      </c>
    </row>
    <row r="114" customFormat="false" ht="35.05" hidden="false" customHeight="false" outlineLevel="0" collapsed="false">
      <c r="A114" s="12" t="s">
        <v>344</v>
      </c>
      <c r="B114" s="13" t="s">
        <v>345</v>
      </c>
      <c r="C114" s="14" t="n">
        <v>253.97</v>
      </c>
      <c r="D114" s="15" t="s">
        <v>12</v>
      </c>
      <c r="E114" s="13" t="s">
        <v>173</v>
      </c>
      <c r="F114" s="13" t="s">
        <v>174</v>
      </c>
      <c r="G114" s="13" t="s">
        <v>346</v>
      </c>
      <c r="H114" s="16" t="s">
        <v>63</v>
      </c>
      <c r="I114" s="15" t="n">
        <v>2</v>
      </c>
      <c r="J114" s="15" t="n">
        <v>3</v>
      </c>
      <c r="K114" s="15" t="n">
        <f aca="false">IF(C114&gt;=50,1,0)</f>
        <v>1</v>
      </c>
      <c r="L114" s="17" t="n">
        <f aca="false">IF(H114="0 (checked)",2,IF(H114="Unverified",1,IF(H114="1 (checked)",0.5,0)))</f>
        <v>1</v>
      </c>
      <c r="M114" s="17" t="n">
        <f aca="false">I114+J114+K114+L114</f>
        <v>7</v>
      </c>
      <c r="N114" s="15" t="str">
        <f aca="false">IF(C114&lt;25,"Nano (&lt;$25M)",IF(C114&lt;100,"$25-100M",IF(C114&lt;250,"$100-250M","$250-500M")))</f>
        <v>$250-500M</v>
      </c>
    </row>
    <row r="115" customFormat="false" ht="23.85" hidden="false" customHeight="false" outlineLevel="0" collapsed="false">
      <c r="A115" s="12" t="s">
        <v>347</v>
      </c>
      <c r="B115" s="13" t="s">
        <v>348</v>
      </c>
      <c r="C115" s="14" t="n">
        <v>252.92</v>
      </c>
      <c r="D115" s="15" t="s">
        <v>24</v>
      </c>
      <c r="E115" s="13" t="s">
        <v>225</v>
      </c>
      <c r="F115" s="13" t="s">
        <v>226</v>
      </c>
      <c r="G115" s="13" t="s">
        <v>349</v>
      </c>
      <c r="H115" s="16" t="s">
        <v>63</v>
      </c>
      <c r="I115" s="15" t="n">
        <v>3</v>
      </c>
      <c r="J115" s="15" t="n">
        <v>2</v>
      </c>
      <c r="K115" s="15" t="n">
        <f aca="false">IF(C115&gt;=50,1,0)</f>
        <v>1</v>
      </c>
      <c r="L115" s="17" t="n">
        <f aca="false">IF(H115="0 (checked)",2,IF(H115="Unverified",1,IF(H115="1 (checked)",0.5,0)))</f>
        <v>1</v>
      </c>
      <c r="M115" s="17" t="n">
        <f aca="false">I115+J115+K115+L115</f>
        <v>7</v>
      </c>
      <c r="N115" s="15" t="str">
        <f aca="false">IF(C115&lt;25,"Nano (&lt;$25M)",IF(C115&lt;100,"$25-100M",IF(C115&lt;250,"$100-250M","$250-500M")))</f>
        <v>$250-500M</v>
      </c>
    </row>
    <row r="116" customFormat="false" ht="35.05" hidden="false" customHeight="false" outlineLevel="0" collapsed="false">
      <c r="A116" s="12" t="s">
        <v>350</v>
      </c>
      <c r="B116" s="13" t="s">
        <v>351</v>
      </c>
      <c r="C116" s="14" t="n">
        <v>250.4</v>
      </c>
      <c r="D116" s="15" t="s">
        <v>22</v>
      </c>
      <c r="E116" s="13" t="s">
        <v>267</v>
      </c>
      <c r="F116" s="13" t="s">
        <v>268</v>
      </c>
      <c r="G116" s="13" t="s">
        <v>352</v>
      </c>
      <c r="H116" s="16" t="s">
        <v>63</v>
      </c>
      <c r="I116" s="15" t="n">
        <v>2</v>
      </c>
      <c r="J116" s="15" t="n">
        <v>3</v>
      </c>
      <c r="K116" s="15" t="n">
        <f aca="false">IF(C116&gt;=50,1,0)</f>
        <v>1</v>
      </c>
      <c r="L116" s="17" t="n">
        <f aca="false">IF(H116="0 (checked)",2,IF(H116="Unverified",1,IF(H116="1 (checked)",0.5,0)))</f>
        <v>1</v>
      </c>
      <c r="M116" s="17" t="n">
        <f aca="false">I116+J116+K116+L116</f>
        <v>7</v>
      </c>
      <c r="N116" s="15" t="str">
        <f aca="false">IF(C116&lt;25,"Nano (&lt;$25M)",IF(C116&lt;100,"$25-100M",IF(C116&lt;250,"$100-250M","$250-500M")))</f>
        <v>$250-500M</v>
      </c>
    </row>
    <row r="117" customFormat="false" ht="35.05" hidden="false" customHeight="false" outlineLevel="0" collapsed="false">
      <c r="A117" s="12" t="s">
        <v>353</v>
      </c>
      <c r="B117" s="13" t="s">
        <v>354</v>
      </c>
      <c r="C117" s="14" t="n">
        <v>250.25</v>
      </c>
      <c r="D117" s="15" t="s">
        <v>12</v>
      </c>
      <c r="E117" s="13" t="s">
        <v>173</v>
      </c>
      <c r="F117" s="13" t="s">
        <v>174</v>
      </c>
      <c r="G117" s="13"/>
      <c r="H117" s="16" t="s">
        <v>63</v>
      </c>
      <c r="I117" s="15" t="n">
        <v>2</v>
      </c>
      <c r="J117" s="15" t="n">
        <v>3</v>
      </c>
      <c r="K117" s="15" t="n">
        <f aca="false">IF(C117&gt;=50,1,0)</f>
        <v>1</v>
      </c>
      <c r="L117" s="17" t="n">
        <f aca="false">IF(H117="0 (checked)",2,IF(H117="Unverified",1,IF(H117="1 (checked)",0.5,0)))</f>
        <v>1</v>
      </c>
      <c r="M117" s="17" t="n">
        <f aca="false">I117+J117+K117+L117</f>
        <v>7</v>
      </c>
      <c r="N117" s="15" t="str">
        <f aca="false">IF(C117&lt;25,"Nano (&lt;$25M)",IF(C117&lt;100,"$25-100M",IF(C117&lt;250,"$100-250M","$250-500M")))</f>
        <v>$250-500M</v>
      </c>
    </row>
    <row r="118" customFormat="false" ht="35.05" hidden="false" customHeight="false" outlineLevel="0" collapsed="false">
      <c r="A118" s="12" t="s">
        <v>355</v>
      </c>
      <c r="B118" s="13" t="s">
        <v>356</v>
      </c>
      <c r="C118" s="14" t="n">
        <v>243.13</v>
      </c>
      <c r="D118" s="15" t="s">
        <v>12</v>
      </c>
      <c r="E118" s="13" t="s">
        <v>173</v>
      </c>
      <c r="F118" s="13" t="s">
        <v>174</v>
      </c>
      <c r="G118" s="13"/>
      <c r="H118" s="16" t="s">
        <v>63</v>
      </c>
      <c r="I118" s="15" t="n">
        <v>2</v>
      </c>
      <c r="J118" s="15" t="n">
        <v>3</v>
      </c>
      <c r="K118" s="15" t="n">
        <f aca="false">IF(C118&gt;=50,1,0)</f>
        <v>1</v>
      </c>
      <c r="L118" s="17" t="n">
        <f aca="false">IF(H118="0 (checked)",2,IF(H118="Unverified",1,IF(H118="1 (checked)",0.5,0)))</f>
        <v>1</v>
      </c>
      <c r="M118" s="17" t="n">
        <f aca="false">I118+J118+K118+L118</f>
        <v>7</v>
      </c>
      <c r="N118" s="15" t="str">
        <f aca="false">IF(C118&lt;25,"Nano (&lt;$25M)",IF(C118&lt;100,"$25-100M",IF(C118&lt;250,"$100-250M","$250-500M")))</f>
        <v>$100-250M</v>
      </c>
    </row>
    <row r="119" customFormat="false" ht="35.05" hidden="false" customHeight="false" outlineLevel="0" collapsed="false">
      <c r="A119" s="12" t="s">
        <v>357</v>
      </c>
      <c r="B119" s="13" t="s">
        <v>358</v>
      </c>
      <c r="C119" s="14" t="n">
        <v>234.29</v>
      </c>
      <c r="D119" s="15" t="s">
        <v>12</v>
      </c>
      <c r="E119" s="13" t="s">
        <v>173</v>
      </c>
      <c r="F119" s="13" t="s">
        <v>174</v>
      </c>
      <c r="G119" s="13"/>
      <c r="H119" s="16" t="s">
        <v>63</v>
      </c>
      <c r="I119" s="15" t="n">
        <v>2</v>
      </c>
      <c r="J119" s="15" t="n">
        <v>3</v>
      </c>
      <c r="K119" s="15" t="n">
        <f aca="false">IF(C119&gt;=50,1,0)</f>
        <v>1</v>
      </c>
      <c r="L119" s="17" t="n">
        <f aca="false">IF(H119="0 (checked)",2,IF(H119="Unverified",1,IF(H119="1 (checked)",0.5,0)))</f>
        <v>1</v>
      </c>
      <c r="M119" s="17" t="n">
        <f aca="false">I119+J119+K119+L119</f>
        <v>7</v>
      </c>
      <c r="N119" s="15" t="str">
        <f aca="false">IF(C119&lt;25,"Nano (&lt;$25M)",IF(C119&lt;100,"$25-100M",IF(C119&lt;250,"$100-250M","$250-500M")))</f>
        <v>$100-250M</v>
      </c>
    </row>
    <row r="120" customFormat="false" ht="35.05" hidden="false" customHeight="false" outlineLevel="0" collapsed="false">
      <c r="A120" s="12" t="s">
        <v>359</v>
      </c>
      <c r="B120" s="13" t="s">
        <v>360</v>
      </c>
      <c r="C120" s="14" t="n">
        <v>233.39</v>
      </c>
      <c r="D120" s="15" t="s">
        <v>12</v>
      </c>
      <c r="E120" s="13" t="s">
        <v>173</v>
      </c>
      <c r="F120" s="13" t="s">
        <v>174</v>
      </c>
      <c r="G120" s="13"/>
      <c r="H120" s="16" t="s">
        <v>63</v>
      </c>
      <c r="I120" s="15" t="n">
        <v>2</v>
      </c>
      <c r="J120" s="15" t="n">
        <v>3</v>
      </c>
      <c r="K120" s="15" t="n">
        <f aca="false">IF(C120&gt;=50,1,0)</f>
        <v>1</v>
      </c>
      <c r="L120" s="17" t="n">
        <f aca="false">IF(H120="0 (checked)",2,IF(H120="Unverified",1,IF(H120="1 (checked)",0.5,0)))</f>
        <v>1</v>
      </c>
      <c r="M120" s="17" t="n">
        <f aca="false">I120+J120+K120+L120</f>
        <v>7</v>
      </c>
      <c r="N120" s="15" t="str">
        <f aca="false">IF(C120&lt;25,"Nano (&lt;$25M)",IF(C120&lt;100,"$25-100M",IF(C120&lt;250,"$100-250M","$250-500M")))</f>
        <v>$100-250M</v>
      </c>
    </row>
    <row r="121" customFormat="false" ht="35.05" hidden="false" customHeight="false" outlineLevel="0" collapsed="false">
      <c r="A121" s="12" t="s">
        <v>361</v>
      </c>
      <c r="B121" s="13" t="s">
        <v>362</v>
      </c>
      <c r="C121" s="14" t="n">
        <v>232.17</v>
      </c>
      <c r="D121" s="15" t="s">
        <v>12</v>
      </c>
      <c r="E121" s="13" t="s">
        <v>173</v>
      </c>
      <c r="F121" s="13" t="s">
        <v>174</v>
      </c>
      <c r="G121" s="13"/>
      <c r="H121" s="16" t="s">
        <v>63</v>
      </c>
      <c r="I121" s="15" t="n">
        <v>2</v>
      </c>
      <c r="J121" s="15" t="n">
        <v>3</v>
      </c>
      <c r="K121" s="15" t="n">
        <f aca="false">IF(C121&gt;=50,1,0)</f>
        <v>1</v>
      </c>
      <c r="L121" s="17" t="n">
        <f aca="false">IF(H121="0 (checked)",2,IF(H121="Unverified",1,IF(H121="1 (checked)",0.5,0)))</f>
        <v>1</v>
      </c>
      <c r="M121" s="17" t="n">
        <f aca="false">I121+J121+K121+L121</f>
        <v>7</v>
      </c>
      <c r="N121" s="15" t="str">
        <f aca="false">IF(C121&lt;25,"Nano (&lt;$25M)",IF(C121&lt;100,"$25-100M",IF(C121&lt;250,"$100-250M","$250-500M")))</f>
        <v>$100-250M</v>
      </c>
    </row>
    <row r="122" customFormat="false" ht="35.05" hidden="false" customHeight="false" outlineLevel="0" collapsed="false">
      <c r="A122" s="12" t="s">
        <v>363</v>
      </c>
      <c r="B122" s="13" t="s">
        <v>364</v>
      </c>
      <c r="C122" s="14" t="n">
        <v>230.15</v>
      </c>
      <c r="D122" s="15" t="s">
        <v>12</v>
      </c>
      <c r="E122" s="13" t="s">
        <v>173</v>
      </c>
      <c r="F122" s="13" t="s">
        <v>174</v>
      </c>
      <c r="G122" s="13" t="s">
        <v>365</v>
      </c>
      <c r="H122" s="16" t="s">
        <v>63</v>
      </c>
      <c r="I122" s="15" t="n">
        <v>2</v>
      </c>
      <c r="J122" s="15" t="n">
        <v>3</v>
      </c>
      <c r="K122" s="15" t="n">
        <f aca="false">IF(C122&gt;=50,1,0)</f>
        <v>1</v>
      </c>
      <c r="L122" s="17" t="n">
        <f aca="false">IF(H122="0 (checked)",2,IF(H122="Unverified",1,IF(H122="1 (checked)",0.5,0)))</f>
        <v>1</v>
      </c>
      <c r="M122" s="17" t="n">
        <f aca="false">I122+J122+K122+L122</f>
        <v>7</v>
      </c>
      <c r="N122" s="15" t="str">
        <f aca="false">IF(C122&lt;25,"Nano (&lt;$25M)",IF(C122&lt;100,"$25-100M",IF(C122&lt;250,"$100-250M","$250-500M")))</f>
        <v>$100-250M</v>
      </c>
    </row>
    <row r="123" customFormat="false" ht="23.85" hidden="false" customHeight="false" outlineLevel="0" collapsed="false">
      <c r="A123" s="12" t="s">
        <v>366</v>
      </c>
      <c r="B123" s="13" t="s">
        <v>367</v>
      </c>
      <c r="C123" s="14" t="n">
        <v>230.07</v>
      </c>
      <c r="D123" s="15" t="s">
        <v>13</v>
      </c>
      <c r="E123" s="13" t="s">
        <v>108</v>
      </c>
      <c r="F123" s="13" t="s">
        <v>109</v>
      </c>
      <c r="G123" s="13" t="s">
        <v>368</v>
      </c>
      <c r="H123" s="16" t="s">
        <v>63</v>
      </c>
      <c r="I123" s="15" t="n">
        <v>3</v>
      </c>
      <c r="J123" s="15" t="n">
        <v>2</v>
      </c>
      <c r="K123" s="15" t="n">
        <f aca="false">IF(C123&gt;=50,1,0)</f>
        <v>1</v>
      </c>
      <c r="L123" s="17" t="n">
        <f aca="false">IF(H123="0 (checked)",2,IF(H123="Unverified",1,IF(H123="1 (checked)",0.5,0)))</f>
        <v>1</v>
      </c>
      <c r="M123" s="17" t="n">
        <f aca="false">I123+J123+K123+L123</f>
        <v>7</v>
      </c>
      <c r="N123" s="15" t="str">
        <f aca="false">IF(C123&lt;25,"Nano (&lt;$25M)",IF(C123&lt;100,"$25-100M",IF(C123&lt;250,"$100-250M","$250-500M")))</f>
        <v>$100-250M</v>
      </c>
    </row>
    <row r="124" customFormat="false" ht="35.05" hidden="false" customHeight="false" outlineLevel="0" collapsed="false">
      <c r="A124" s="12" t="s">
        <v>369</v>
      </c>
      <c r="B124" s="13" t="s">
        <v>370</v>
      </c>
      <c r="C124" s="14" t="n">
        <v>227.87</v>
      </c>
      <c r="D124" s="15" t="s">
        <v>12</v>
      </c>
      <c r="E124" s="13" t="s">
        <v>173</v>
      </c>
      <c r="F124" s="13" t="s">
        <v>174</v>
      </c>
      <c r="G124" s="13"/>
      <c r="H124" s="16" t="s">
        <v>63</v>
      </c>
      <c r="I124" s="15" t="n">
        <v>2</v>
      </c>
      <c r="J124" s="15" t="n">
        <v>3</v>
      </c>
      <c r="K124" s="15" t="n">
        <f aca="false">IF(C124&gt;=50,1,0)</f>
        <v>1</v>
      </c>
      <c r="L124" s="17" t="n">
        <f aca="false">IF(H124="0 (checked)",2,IF(H124="Unverified",1,IF(H124="1 (checked)",0.5,0)))</f>
        <v>1</v>
      </c>
      <c r="M124" s="17" t="n">
        <f aca="false">I124+J124+K124+L124</f>
        <v>7</v>
      </c>
      <c r="N124" s="15" t="str">
        <f aca="false">IF(C124&lt;25,"Nano (&lt;$25M)",IF(C124&lt;100,"$25-100M",IF(C124&lt;250,"$100-250M","$250-500M")))</f>
        <v>$100-250M</v>
      </c>
    </row>
    <row r="125" customFormat="false" ht="35.05" hidden="false" customHeight="false" outlineLevel="0" collapsed="false">
      <c r="A125" s="12" t="s">
        <v>371</v>
      </c>
      <c r="B125" s="13" t="s">
        <v>372</v>
      </c>
      <c r="C125" s="14" t="n">
        <v>226.89</v>
      </c>
      <c r="D125" s="15" t="s">
        <v>12</v>
      </c>
      <c r="E125" s="13" t="s">
        <v>173</v>
      </c>
      <c r="F125" s="13" t="s">
        <v>174</v>
      </c>
      <c r="G125" s="13"/>
      <c r="H125" s="16" t="s">
        <v>63</v>
      </c>
      <c r="I125" s="15" t="n">
        <v>2</v>
      </c>
      <c r="J125" s="15" t="n">
        <v>3</v>
      </c>
      <c r="K125" s="15" t="n">
        <f aca="false">IF(C125&gt;=50,1,0)</f>
        <v>1</v>
      </c>
      <c r="L125" s="17" t="n">
        <f aca="false">IF(H125="0 (checked)",2,IF(H125="Unverified",1,IF(H125="1 (checked)",0.5,0)))</f>
        <v>1</v>
      </c>
      <c r="M125" s="17" t="n">
        <f aca="false">I125+J125+K125+L125</f>
        <v>7</v>
      </c>
      <c r="N125" s="15" t="str">
        <f aca="false">IF(C125&lt;25,"Nano (&lt;$25M)",IF(C125&lt;100,"$25-100M",IF(C125&lt;250,"$100-250M","$250-500M")))</f>
        <v>$100-250M</v>
      </c>
    </row>
    <row r="126" customFormat="false" ht="23.85" hidden="false" customHeight="false" outlineLevel="0" collapsed="false">
      <c r="A126" s="12" t="s">
        <v>373</v>
      </c>
      <c r="B126" s="13" t="s">
        <v>374</v>
      </c>
      <c r="C126" s="14" t="n">
        <v>223.06</v>
      </c>
      <c r="D126" s="15" t="s">
        <v>24</v>
      </c>
      <c r="E126" s="13" t="s">
        <v>225</v>
      </c>
      <c r="F126" s="13" t="s">
        <v>226</v>
      </c>
      <c r="G126" s="13" t="s">
        <v>375</v>
      </c>
      <c r="H126" s="16" t="s">
        <v>63</v>
      </c>
      <c r="I126" s="15" t="n">
        <v>3</v>
      </c>
      <c r="J126" s="15" t="n">
        <v>2</v>
      </c>
      <c r="K126" s="15" t="n">
        <f aca="false">IF(C126&gt;=50,1,0)</f>
        <v>1</v>
      </c>
      <c r="L126" s="17" t="n">
        <f aca="false">IF(H126="0 (checked)",2,IF(H126="Unverified",1,IF(H126="1 (checked)",0.5,0)))</f>
        <v>1</v>
      </c>
      <c r="M126" s="17" t="n">
        <f aca="false">I126+J126+K126+L126</f>
        <v>7</v>
      </c>
      <c r="N126" s="15" t="str">
        <f aca="false">IF(C126&lt;25,"Nano (&lt;$25M)",IF(C126&lt;100,"$25-100M",IF(C126&lt;250,"$100-250M","$250-500M")))</f>
        <v>$100-250M</v>
      </c>
    </row>
    <row r="127" customFormat="false" ht="35.05" hidden="false" customHeight="false" outlineLevel="0" collapsed="false">
      <c r="A127" s="12" t="s">
        <v>376</v>
      </c>
      <c r="B127" s="13" t="s">
        <v>377</v>
      </c>
      <c r="C127" s="14" t="n">
        <v>220.56</v>
      </c>
      <c r="D127" s="15" t="s">
        <v>12</v>
      </c>
      <c r="E127" s="13" t="s">
        <v>173</v>
      </c>
      <c r="F127" s="13" t="s">
        <v>174</v>
      </c>
      <c r="G127" s="13"/>
      <c r="H127" s="16" t="s">
        <v>63</v>
      </c>
      <c r="I127" s="15" t="n">
        <v>2</v>
      </c>
      <c r="J127" s="15" t="n">
        <v>3</v>
      </c>
      <c r="K127" s="15" t="n">
        <f aca="false">IF(C127&gt;=50,1,0)</f>
        <v>1</v>
      </c>
      <c r="L127" s="17" t="n">
        <f aca="false">IF(H127="0 (checked)",2,IF(H127="Unverified",1,IF(H127="1 (checked)",0.5,0)))</f>
        <v>1</v>
      </c>
      <c r="M127" s="17" t="n">
        <f aca="false">I127+J127+K127+L127</f>
        <v>7</v>
      </c>
      <c r="N127" s="15" t="str">
        <f aca="false">IF(C127&lt;25,"Nano (&lt;$25M)",IF(C127&lt;100,"$25-100M",IF(C127&lt;250,"$100-250M","$250-500M")))</f>
        <v>$100-250M</v>
      </c>
    </row>
    <row r="128" customFormat="false" ht="23.85" hidden="false" customHeight="false" outlineLevel="0" collapsed="false">
      <c r="A128" s="12" t="s">
        <v>378</v>
      </c>
      <c r="B128" s="13" t="s">
        <v>379</v>
      </c>
      <c r="C128" s="14" t="n">
        <v>220.44</v>
      </c>
      <c r="D128" s="15" t="s">
        <v>30</v>
      </c>
      <c r="E128" s="13" t="s">
        <v>380</v>
      </c>
      <c r="F128" s="13" t="s">
        <v>381</v>
      </c>
      <c r="G128" s="13" t="s">
        <v>382</v>
      </c>
      <c r="H128" s="16" t="s">
        <v>63</v>
      </c>
      <c r="I128" s="15" t="n">
        <v>3</v>
      </c>
      <c r="J128" s="15" t="n">
        <v>2</v>
      </c>
      <c r="K128" s="15" t="n">
        <f aca="false">IF(C128&gt;=50,1,0)</f>
        <v>1</v>
      </c>
      <c r="L128" s="17" t="n">
        <f aca="false">IF(H128="0 (checked)",2,IF(H128="Unverified",1,IF(H128="1 (checked)",0.5,0)))</f>
        <v>1</v>
      </c>
      <c r="M128" s="17" t="n">
        <f aca="false">I128+J128+K128+L128</f>
        <v>7</v>
      </c>
      <c r="N128" s="15" t="str">
        <f aca="false">IF(C128&lt;25,"Nano (&lt;$25M)",IF(C128&lt;100,"$25-100M",IF(C128&lt;250,"$100-250M","$250-500M")))</f>
        <v>$100-250M</v>
      </c>
    </row>
    <row r="129" customFormat="false" ht="23.85" hidden="false" customHeight="false" outlineLevel="0" collapsed="false">
      <c r="A129" s="12" t="s">
        <v>383</v>
      </c>
      <c r="B129" s="13" t="s">
        <v>384</v>
      </c>
      <c r="C129" s="14" t="n">
        <v>220.28</v>
      </c>
      <c r="D129" s="15" t="s">
        <v>24</v>
      </c>
      <c r="E129" s="13" t="s">
        <v>225</v>
      </c>
      <c r="F129" s="13" t="s">
        <v>226</v>
      </c>
      <c r="G129" s="13" t="s">
        <v>385</v>
      </c>
      <c r="H129" s="16" t="s">
        <v>63</v>
      </c>
      <c r="I129" s="15" t="n">
        <v>3</v>
      </c>
      <c r="J129" s="15" t="n">
        <v>2</v>
      </c>
      <c r="K129" s="15" t="n">
        <f aca="false">IF(C129&gt;=50,1,0)</f>
        <v>1</v>
      </c>
      <c r="L129" s="17" t="n">
        <f aca="false">IF(H129="0 (checked)",2,IF(H129="Unverified",1,IF(H129="1 (checked)",0.5,0)))</f>
        <v>1</v>
      </c>
      <c r="M129" s="17" t="n">
        <f aca="false">I129+J129+K129+L129</f>
        <v>7</v>
      </c>
      <c r="N129" s="15" t="str">
        <f aca="false">IF(C129&lt;25,"Nano (&lt;$25M)",IF(C129&lt;100,"$25-100M",IF(C129&lt;250,"$100-250M","$250-500M")))</f>
        <v>$100-250M</v>
      </c>
    </row>
    <row r="130" customFormat="false" ht="35.05" hidden="false" customHeight="false" outlineLevel="0" collapsed="false">
      <c r="A130" s="12" t="s">
        <v>386</v>
      </c>
      <c r="B130" s="13" t="s">
        <v>387</v>
      </c>
      <c r="C130" s="14" t="n">
        <v>219.63</v>
      </c>
      <c r="D130" s="15" t="s">
        <v>12</v>
      </c>
      <c r="E130" s="13" t="s">
        <v>173</v>
      </c>
      <c r="F130" s="13" t="s">
        <v>174</v>
      </c>
      <c r="G130" s="13" t="s">
        <v>388</v>
      </c>
      <c r="H130" s="16" t="s">
        <v>63</v>
      </c>
      <c r="I130" s="15" t="n">
        <v>2</v>
      </c>
      <c r="J130" s="15" t="n">
        <v>3</v>
      </c>
      <c r="K130" s="15" t="n">
        <f aca="false">IF(C130&gt;=50,1,0)</f>
        <v>1</v>
      </c>
      <c r="L130" s="17" t="n">
        <f aca="false">IF(H130="0 (checked)",2,IF(H130="Unverified",1,IF(H130="1 (checked)",0.5,0)))</f>
        <v>1</v>
      </c>
      <c r="M130" s="17" t="n">
        <f aca="false">I130+J130+K130+L130</f>
        <v>7</v>
      </c>
      <c r="N130" s="15" t="str">
        <f aca="false">IF(C130&lt;25,"Nano (&lt;$25M)",IF(C130&lt;100,"$25-100M",IF(C130&lt;250,"$100-250M","$250-500M")))</f>
        <v>$100-250M</v>
      </c>
    </row>
    <row r="131" customFormat="false" ht="35.05" hidden="false" customHeight="false" outlineLevel="0" collapsed="false">
      <c r="A131" s="12" t="s">
        <v>389</v>
      </c>
      <c r="B131" s="13" t="s">
        <v>390</v>
      </c>
      <c r="C131" s="14" t="n">
        <v>218.41</v>
      </c>
      <c r="D131" s="15" t="s">
        <v>12</v>
      </c>
      <c r="E131" s="13" t="s">
        <v>173</v>
      </c>
      <c r="F131" s="13" t="s">
        <v>174</v>
      </c>
      <c r="G131" s="13"/>
      <c r="H131" s="16" t="s">
        <v>63</v>
      </c>
      <c r="I131" s="15" t="n">
        <v>2</v>
      </c>
      <c r="J131" s="15" t="n">
        <v>3</v>
      </c>
      <c r="K131" s="15" t="n">
        <f aca="false">IF(C131&gt;=50,1,0)</f>
        <v>1</v>
      </c>
      <c r="L131" s="17" t="n">
        <f aca="false">IF(H131="0 (checked)",2,IF(H131="Unverified",1,IF(H131="1 (checked)",0.5,0)))</f>
        <v>1</v>
      </c>
      <c r="M131" s="17" t="n">
        <f aca="false">I131+J131+K131+L131</f>
        <v>7</v>
      </c>
      <c r="N131" s="15" t="str">
        <f aca="false">IF(C131&lt;25,"Nano (&lt;$25M)",IF(C131&lt;100,"$25-100M",IF(C131&lt;250,"$100-250M","$250-500M")))</f>
        <v>$100-250M</v>
      </c>
    </row>
    <row r="132" customFormat="false" ht="35.05" hidden="false" customHeight="false" outlineLevel="0" collapsed="false">
      <c r="A132" s="12" t="s">
        <v>391</v>
      </c>
      <c r="B132" s="13" t="s">
        <v>392</v>
      </c>
      <c r="C132" s="14" t="n">
        <v>212.79</v>
      </c>
      <c r="D132" s="15" t="s">
        <v>12</v>
      </c>
      <c r="E132" s="13" t="s">
        <v>173</v>
      </c>
      <c r="F132" s="13" t="s">
        <v>174</v>
      </c>
      <c r="G132" s="13"/>
      <c r="H132" s="16" t="s">
        <v>63</v>
      </c>
      <c r="I132" s="15" t="n">
        <v>2</v>
      </c>
      <c r="J132" s="15" t="n">
        <v>3</v>
      </c>
      <c r="K132" s="15" t="n">
        <f aca="false">IF(C132&gt;=50,1,0)</f>
        <v>1</v>
      </c>
      <c r="L132" s="17" t="n">
        <f aca="false">IF(H132="0 (checked)",2,IF(H132="Unverified",1,IF(H132="1 (checked)",0.5,0)))</f>
        <v>1</v>
      </c>
      <c r="M132" s="17" t="n">
        <f aca="false">I132+J132+K132+L132</f>
        <v>7</v>
      </c>
      <c r="N132" s="15" t="str">
        <f aca="false">IF(C132&lt;25,"Nano (&lt;$25M)",IF(C132&lt;100,"$25-100M",IF(C132&lt;250,"$100-250M","$250-500M")))</f>
        <v>$100-250M</v>
      </c>
    </row>
    <row r="133" customFormat="false" ht="35.05" hidden="false" customHeight="false" outlineLevel="0" collapsed="false">
      <c r="A133" s="12" t="s">
        <v>393</v>
      </c>
      <c r="B133" s="13" t="s">
        <v>394</v>
      </c>
      <c r="C133" s="14" t="n">
        <v>211.71</v>
      </c>
      <c r="D133" s="15" t="s">
        <v>12</v>
      </c>
      <c r="E133" s="13" t="s">
        <v>173</v>
      </c>
      <c r="F133" s="13" t="s">
        <v>174</v>
      </c>
      <c r="G133" s="13"/>
      <c r="H133" s="16" t="s">
        <v>63</v>
      </c>
      <c r="I133" s="15" t="n">
        <v>2</v>
      </c>
      <c r="J133" s="15" t="n">
        <v>3</v>
      </c>
      <c r="K133" s="15" t="n">
        <f aca="false">IF(C133&gt;=50,1,0)</f>
        <v>1</v>
      </c>
      <c r="L133" s="17" t="n">
        <f aca="false">IF(H133="0 (checked)",2,IF(H133="Unverified",1,IF(H133="1 (checked)",0.5,0)))</f>
        <v>1</v>
      </c>
      <c r="M133" s="17" t="n">
        <f aca="false">I133+J133+K133+L133</f>
        <v>7</v>
      </c>
      <c r="N133" s="15" t="str">
        <f aca="false">IF(C133&lt;25,"Nano (&lt;$25M)",IF(C133&lt;100,"$25-100M",IF(C133&lt;250,"$100-250M","$250-500M")))</f>
        <v>$100-250M</v>
      </c>
    </row>
    <row r="134" customFormat="false" ht="35.05" hidden="false" customHeight="false" outlineLevel="0" collapsed="false">
      <c r="A134" s="12" t="s">
        <v>395</v>
      </c>
      <c r="B134" s="13" t="s">
        <v>396</v>
      </c>
      <c r="C134" s="14" t="n">
        <v>203.21</v>
      </c>
      <c r="D134" s="15" t="s">
        <v>22</v>
      </c>
      <c r="E134" s="13" t="s">
        <v>267</v>
      </c>
      <c r="F134" s="13" t="s">
        <v>268</v>
      </c>
      <c r="G134" s="13" t="s">
        <v>397</v>
      </c>
      <c r="H134" s="16" t="s">
        <v>63</v>
      </c>
      <c r="I134" s="15" t="n">
        <v>2</v>
      </c>
      <c r="J134" s="15" t="n">
        <v>3</v>
      </c>
      <c r="K134" s="15" t="n">
        <f aca="false">IF(C134&gt;=50,1,0)</f>
        <v>1</v>
      </c>
      <c r="L134" s="17" t="n">
        <f aca="false">IF(H134="0 (checked)",2,IF(H134="Unverified",1,IF(H134="1 (checked)",0.5,0)))</f>
        <v>1</v>
      </c>
      <c r="M134" s="17" t="n">
        <f aca="false">I134+J134+K134+L134</f>
        <v>7</v>
      </c>
      <c r="N134" s="15" t="str">
        <f aca="false">IF(C134&lt;25,"Nano (&lt;$25M)",IF(C134&lt;100,"$25-100M",IF(C134&lt;250,"$100-250M","$250-500M")))</f>
        <v>$100-250M</v>
      </c>
    </row>
    <row r="135" customFormat="false" ht="35.05" hidden="false" customHeight="false" outlineLevel="0" collapsed="false">
      <c r="A135" s="12" t="s">
        <v>398</v>
      </c>
      <c r="B135" s="13" t="s">
        <v>399</v>
      </c>
      <c r="C135" s="14" t="n">
        <v>200.8</v>
      </c>
      <c r="D135" s="15" t="s">
        <v>12</v>
      </c>
      <c r="E135" s="13" t="s">
        <v>173</v>
      </c>
      <c r="F135" s="13" t="s">
        <v>174</v>
      </c>
      <c r="G135" s="13"/>
      <c r="H135" s="16" t="s">
        <v>63</v>
      </c>
      <c r="I135" s="15" t="n">
        <v>2</v>
      </c>
      <c r="J135" s="15" t="n">
        <v>3</v>
      </c>
      <c r="K135" s="15" t="n">
        <f aca="false">IF(C135&gt;=50,1,0)</f>
        <v>1</v>
      </c>
      <c r="L135" s="17" t="n">
        <f aca="false">IF(H135="0 (checked)",2,IF(H135="Unverified",1,IF(H135="1 (checked)",0.5,0)))</f>
        <v>1</v>
      </c>
      <c r="M135" s="17" t="n">
        <f aca="false">I135+J135+K135+L135</f>
        <v>7</v>
      </c>
      <c r="N135" s="15" t="str">
        <f aca="false">IF(C135&lt;25,"Nano (&lt;$25M)",IF(C135&lt;100,"$25-100M",IF(C135&lt;250,"$100-250M","$250-500M")))</f>
        <v>$100-250M</v>
      </c>
    </row>
    <row r="136" customFormat="false" ht="35.05" hidden="false" customHeight="false" outlineLevel="0" collapsed="false">
      <c r="A136" s="12" t="s">
        <v>400</v>
      </c>
      <c r="B136" s="13" t="s">
        <v>401</v>
      </c>
      <c r="C136" s="14" t="n">
        <v>198.15</v>
      </c>
      <c r="D136" s="15" t="s">
        <v>12</v>
      </c>
      <c r="E136" s="13" t="s">
        <v>173</v>
      </c>
      <c r="F136" s="13" t="s">
        <v>174</v>
      </c>
      <c r="G136" s="13"/>
      <c r="H136" s="16" t="s">
        <v>63</v>
      </c>
      <c r="I136" s="15" t="n">
        <v>2</v>
      </c>
      <c r="J136" s="15" t="n">
        <v>3</v>
      </c>
      <c r="K136" s="15" t="n">
        <f aca="false">IF(C136&gt;=50,1,0)</f>
        <v>1</v>
      </c>
      <c r="L136" s="17" t="n">
        <f aca="false">IF(H136="0 (checked)",2,IF(H136="Unverified",1,IF(H136="1 (checked)",0.5,0)))</f>
        <v>1</v>
      </c>
      <c r="M136" s="17" t="n">
        <f aca="false">I136+J136+K136+L136</f>
        <v>7</v>
      </c>
      <c r="N136" s="15" t="str">
        <f aca="false">IF(C136&lt;25,"Nano (&lt;$25M)",IF(C136&lt;100,"$25-100M",IF(C136&lt;250,"$100-250M","$250-500M")))</f>
        <v>$100-250M</v>
      </c>
    </row>
    <row r="137" customFormat="false" ht="23.85" hidden="false" customHeight="false" outlineLevel="0" collapsed="false">
      <c r="A137" s="12" t="s">
        <v>402</v>
      </c>
      <c r="B137" s="13" t="s">
        <v>403</v>
      </c>
      <c r="C137" s="14" t="n">
        <v>195.7</v>
      </c>
      <c r="D137" s="15" t="s">
        <v>24</v>
      </c>
      <c r="E137" s="13" t="s">
        <v>225</v>
      </c>
      <c r="F137" s="13" t="s">
        <v>226</v>
      </c>
      <c r="G137" s="13" t="s">
        <v>404</v>
      </c>
      <c r="H137" s="16" t="s">
        <v>63</v>
      </c>
      <c r="I137" s="15" t="n">
        <v>3</v>
      </c>
      <c r="J137" s="15" t="n">
        <v>2</v>
      </c>
      <c r="K137" s="15" t="n">
        <f aca="false">IF(C137&gt;=50,1,0)</f>
        <v>1</v>
      </c>
      <c r="L137" s="17" t="n">
        <f aca="false">IF(H137="0 (checked)",2,IF(H137="Unverified",1,IF(H137="1 (checked)",0.5,0)))</f>
        <v>1</v>
      </c>
      <c r="M137" s="17" t="n">
        <f aca="false">I137+J137+K137+L137</f>
        <v>7</v>
      </c>
      <c r="N137" s="15" t="str">
        <f aca="false">IF(C137&lt;25,"Nano (&lt;$25M)",IF(C137&lt;100,"$25-100M",IF(C137&lt;250,"$100-250M","$250-500M")))</f>
        <v>$100-250M</v>
      </c>
    </row>
    <row r="138" customFormat="false" ht="35.05" hidden="false" customHeight="false" outlineLevel="0" collapsed="false">
      <c r="A138" s="12" t="s">
        <v>405</v>
      </c>
      <c r="B138" s="13" t="s">
        <v>406</v>
      </c>
      <c r="C138" s="14" t="n">
        <v>194.17</v>
      </c>
      <c r="D138" s="15" t="s">
        <v>12</v>
      </c>
      <c r="E138" s="13" t="s">
        <v>173</v>
      </c>
      <c r="F138" s="13" t="s">
        <v>174</v>
      </c>
      <c r="G138" s="13"/>
      <c r="H138" s="16" t="s">
        <v>63</v>
      </c>
      <c r="I138" s="15" t="n">
        <v>2</v>
      </c>
      <c r="J138" s="15" t="n">
        <v>3</v>
      </c>
      <c r="K138" s="15" t="n">
        <f aca="false">IF(C138&gt;=50,1,0)</f>
        <v>1</v>
      </c>
      <c r="L138" s="17" t="n">
        <f aca="false">IF(H138="0 (checked)",2,IF(H138="Unverified",1,IF(H138="1 (checked)",0.5,0)))</f>
        <v>1</v>
      </c>
      <c r="M138" s="17" t="n">
        <f aca="false">I138+J138+K138+L138</f>
        <v>7</v>
      </c>
      <c r="N138" s="15" t="str">
        <f aca="false">IF(C138&lt;25,"Nano (&lt;$25M)",IF(C138&lt;100,"$25-100M",IF(C138&lt;250,"$100-250M","$250-500M")))</f>
        <v>$100-250M</v>
      </c>
    </row>
    <row r="139" customFormat="false" ht="35.05" hidden="false" customHeight="false" outlineLevel="0" collapsed="false">
      <c r="A139" s="12" t="s">
        <v>407</v>
      </c>
      <c r="B139" s="13" t="s">
        <v>408</v>
      </c>
      <c r="C139" s="14" t="n">
        <v>189.54</v>
      </c>
      <c r="D139" s="15" t="s">
        <v>12</v>
      </c>
      <c r="E139" s="13" t="s">
        <v>173</v>
      </c>
      <c r="F139" s="13" t="s">
        <v>174</v>
      </c>
      <c r="G139" s="13"/>
      <c r="H139" s="16" t="s">
        <v>63</v>
      </c>
      <c r="I139" s="15" t="n">
        <v>2</v>
      </c>
      <c r="J139" s="15" t="n">
        <v>3</v>
      </c>
      <c r="K139" s="15" t="n">
        <f aca="false">IF(C139&gt;=50,1,0)</f>
        <v>1</v>
      </c>
      <c r="L139" s="17" t="n">
        <f aca="false">IF(H139="0 (checked)",2,IF(H139="Unverified",1,IF(H139="1 (checked)",0.5,0)))</f>
        <v>1</v>
      </c>
      <c r="M139" s="17" t="n">
        <f aca="false">I139+J139+K139+L139</f>
        <v>7</v>
      </c>
      <c r="N139" s="15" t="str">
        <f aca="false">IF(C139&lt;25,"Nano (&lt;$25M)",IF(C139&lt;100,"$25-100M",IF(C139&lt;250,"$100-250M","$250-500M")))</f>
        <v>$100-250M</v>
      </c>
    </row>
    <row r="140" customFormat="false" ht="23.85" hidden="false" customHeight="false" outlineLevel="0" collapsed="false">
      <c r="A140" s="12" t="s">
        <v>409</v>
      </c>
      <c r="B140" s="13" t="s">
        <v>410</v>
      </c>
      <c r="C140" s="14" t="n">
        <v>189.27</v>
      </c>
      <c r="D140" s="15" t="s">
        <v>24</v>
      </c>
      <c r="E140" s="13" t="s">
        <v>225</v>
      </c>
      <c r="F140" s="13" t="s">
        <v>226</v>
      </c>
      <c r="G140" s="13" t="s">
        <v>411</v>
      </c>
      <c r="H140" s="16" t="s">
        <v>63</v>
      </c>
      <c r="I140" s="15" t="n">
        <v>3</v>
      </c>
      <c r="J140" s="15" t="n">
        <v>2</v>
      </c>
      <c r="K140" s="15" t="n">
        <f aca="false">IF(C140&gt;=50,1,0)</f>
        <v>1</v>
      </c>
      <c r="L140" s="17" t="n">
        <f aca="false">IF(H140="0 (checked)",2,IF(H140="Unverified",1,IF(H140="1 (checked)",0.5,0)))</f>
        <v>1</v>
      </c>
      <c r="M140" s="17" t="n">
        <f aca="false">I140+J140+K140+L140</f>
        <v>7</v>
      </c>
      <c r="N140" s="15" t="str">
        <f aca="false">IF(C140&lt;25,"Nano (&lt;$25M)",IF(C140&lt;100,"$25-100M",IF(C140&lt;250,"$100-250M","$250-500M")))</f>
        <v>$100-250M</v>
      </c>
    </row>
    <row r="141" customFormat="false" ht="35.05" hidden="false" customHeight="false" outlineLevel="0" collapsed="false">
      <c r="A141" s="12" t="s">
        <v>412</v>
      </c>
      <c r="B141" s="13" t="s">
        <v>413</v>
      </c>
      <c r="C141" s="14" t="n">
        <v>186.72</v>
      </c>
      <c r="D141" s="15" t="s">
        <v>12</v>
      </c>
      <c r="E141" s="13" t="s">
        <v>173</v>
      </c>
      <c r="F141" s="13" t="s">
        <v>174</v>
      </c>
      <c r="G141" s="13" t="s">
        <v>414</v>
      </c>
      <c r="H141" s="16" t="s">
        <v>63</v>
      </c>
      <c r="I141" s="15" t="n">
        <v>2</v>
      </c>
      <c r="J141" s="15" t="n">
        <v>3</v>
      </c>
      <c r="K141" s="15" t="n">
        <f aca="false">IF(C141&gt;=50,1,0)</f>
        <v>1</v>
      </c>
      <c r="L141" s="17" t="n">
        <f aca="false">IF(H141="0 (checked)",2,IF(H141="Unverified",1,IF(H141="1 (checked)",0.5,0)))</f>
        <v>1</v>
      </c>
      <c r="M141" s="17" t="n">
        <f aca="false">I141+J141+K141+L141</f>
        <v>7</v>
      </c>
      <c r="N141" s="15" t="str">
        <f aca="false">IF(C141&lt;25,"Nano (&lt;$25M)",IF(C141&lt;100,"$25-100M",IF(C141&lt;250,"$100-250M","$250-500M")))</f>
        <v>$100-250M</v>
      </c>
    </row>
    <row r="142" customFormat="false" ht="35.05" hidden="false" customHeight="false" outlineLevel="0" collapsed="false">
      <c r="A142" s="12" t="s">
        <v>415</v>
      </c>
      <c r="B142" s="13" t="s">
        <v>416</v>
      </c>
      <c r="C142" s="14" t="n">
        <v>186.67</v>
      </c>
      <c r="D142" s="15" t="s">
        <v>12</v>
      </c>
      <c r="E142" s="13" t="s">
        <v>173</v>
      </c>
      <c r="F142" s="13" t="s">
        <v>174</v>
      </c>
      <c r="G142" s="13"/>
      <c r="H142" s="16" t="s">
        <v>63</v>
      </c>
      <c r="I142" s="15" t="n">
        <v>2</v>
      </c>
      <c r="J142" s="15" t="n">
        <v>3</v>
      </c>
      <c r="K142" s="15" t="n">
        <f aca="false">IF(C142&gt;=50,1,0)</f>
        <v>1</v>
      </c>
      <c r="L142" s="17" t="n">
        <f aca="false">IF(H142="0 (checked)",2,IF(H142="Unverified",1,IF(H142="1 (checked)",0.5,0)))</f>
        <v>1</v>
      </c>
      <c r="M142" s="17" t="n">
        <f aca="false">I142+J142+K142+L142</f>
        <v>7</v>
      </c>
      <c r="N142" s="15" t="str">
        <f aca="false">IF(C142&lt;25,"Nano (&lt;$25M)",IF(C142&lt;100,"$25-100M",IF(C142&lt;250,"$100-250M","$250-500M")))</f>
        <v>$100-250M</v>
      </c>
    </row>
    <row r="143" customFormat="false" ht="35.05" hidden="false" customHeight="false" outlineLevel="0" collapsed="false">
      <c r="A143" s="12" t="s">
        <v>417</v>
      </c>
      <c r="B143" s="13" t="s">
        <v>418</v>
      </c>
      <c r="C143" s="14" t="n">
        <v>184.48</v>
      </c>
      <c r="D143" s="15" t="s">
        <v>22</v>
      </c>
      <c r="E143" s="13" t="s">
        <v>267</v>
      </c>
      <c r="F143" s="13" t="s">
        <v>268</v>
      </c>
      <c r="G143" s="13" t="s">
        <v>419</v>
      </c>
      <c r="H143" s="16" t="s">
        <v>63</v>
      </c>
      <c r="I143" s="15" t="n">
        <v>2</v>
      </c>
      <c r="J143" s="15" t="n">
        <v>3</v>
      </c>
      <c r="K143" s="15" t="n">
        <f aca="false">IF(C143&gt;=50,1,0)</f>
        <v>1</v>
      </c>
      <c r="L143" s="17" t="n">
        <f aca="false">IF(H143="0 (checked)",2,IF(H143="Unverified",1,IF(H143="1 (checked)",0.5,0)))</f>
        <v>1</v>
      </c>
      <c r="M143" s="17" t="n">
        <f aca="false">I143+J143+K143+L143</f>
        <v>7</v>
      </c>
      <c r="N143" s="15" t="str">
        <f aca="false">IF(C143&lt;25,"Nano (&lt;$25M)",IF(C143&lt;100,"$25-100M",IF(C143&lt;250,"$100-250M","$250-500M")))</f>
        <v>$100-250M</v>
      </c>
    </row>
    <row r="144" customFormat="false" ht="35.05" hidden="false" customHeight="false" outlineLevel="0" collapsed="false">
      <c r="A144" s="12" t="s">
        <v>420</v>
      </c>
      <c r="B144" s="13" t="s">
        <v>421</v>
      </c>
      <c r="C144" s="14" t="n">
        <v>184.21</v>
      </c>
      <c r="D144" s="15" t="s">
        <v>22</v>
      </c>
      <c r="E144" s="13" t="s">
        <v>267</v>
      </c>
      <c r="F144" s="13" t="s">
        <v>268</v>
      </c>
      <c r="G144" s="13"/>
      <c r="H144" s="16" t="s">
        <v>63</v>
      </c>
      <c r="I144" s="15" t="n">
        <v>2</v>
      </c>
      <c r="J144" s="15" t="n">
        <v>3</v>
      </c>
      <c r="K144" s="15" t="n">
        <f aca="false">IF(C144&gt;=50,1,0)</f>
        <v>1</v>
      </c>
      <c r="L144" s="17" t="n">
        <f aca="false">IF(H144="0 (checked)",2,IF(H144="Unverified",1,IF(H144="1 (checked)",0.5,0)))</f>
        <v>1</v>
      </c>
      <c r="M144" s="17" t="n">
        <f aca="false">I144+J144+K144+L144</f>
        <v>7</v>
      </c>
      <c r="N144" s="15" t="str">
        <f aca="false">IF(C144&lt;25,"Nano (&lt;$25M)",IF(C144&lt;100,"$25-100M",IF(C144&lt;250,"$100-250M","$250-500M")))</f>
        <v>$100-250M</v>
      </c>
    </row>
    <row r="145" customFormat="false" ht="35.05" hidden="false" customHeight="false" outlineLevel="0" collapsed="false">
      <c r="A145" s="12" t="s">
        <v>422</v>
      </c>
      <c r="B145" s="13" t="s">
        <v>423</v>
      </c>
      <c r="C145" s="14" t="n">
        <v>184.09</v>
      </c>
      <c r="D145" s="15" t="s">
        <v>12</v>
      </c>
      <c r="E145" s="13" t="s">
        <v>173</v>
      </c>
      <c r="F145" s="13" t="s">
        <v>174</v>
      </c>
      <c r="G145" s="13" t="s">
        <v>424</v>
      </c>
      <c r="H145" s="16" t="s">
        <v>63</v>
      </c>
      <c r="I145" s="15" t="n">
        <v>2</v>
      </c>
      <c r="J145" s="15" t="n">
        <v>3</v>
      </c>
      <c r="K145" s="15" t="n">
        <f aca="false">IF(C145&gt;=50,1,0)</f>
        <v>1</v>
      </c>
      <c r="L145" s="17" t="n">
        <f aca="false">IF(H145="0 (checked)",2,IF(H145="Unverified",1,IF(H145="1 (checked)",0.5,0)))</f>
        <v>1</v>
      </c>
      <c r="M145" s="17" t="n">
        <f aca="false">I145+J145+K145+L145</f>
        <v>7</v>
      </c>
      <c r="N145" s="15" t="str">
        <f aca="false">IF(C145&lt;25,"Nano (&lt;$25M)",IF(C145&lt;100,"$25-100M",IF(C145&lt;250,"$100-250M","$250-500M")))</f>
        <v>$100-250M</v>
      </c>
    </row>
    <row r="146" customFormat="false" ht="35.05" hidden="false" customHeight="false" outlineLevel="0" collapsed="false">
      <c r="A146" s="12" t="s">
        <v>425</v>
      </c>
      <c r="B146" s="13" t="s">
        <v>426</v>
      </c>
      <c r="C146" s="14" t="n">
        <v>182.01</v>
      </c>
      <c r="D146" s="15" t="s">
        <v>22</v>
      </c>
      <c r="E146" s="13" t="s">
        <v>267</v>
      </c>
      <c r="F146" s="13" t="s">
        <v>268</v>
      </c>
      <c r="G146" s="13"/>
      <c r="H146" s="16" t="s">
        <v>63</v>
      </c>
      <c r="I146" s="15" t="n">
        <v>2</v>
      </c>
      <c r="J146" s="15" t="n">
        <v>3</v>
      </c>
      <c r="K146" s="15" t="n">
        <f aca="false">IF(C146&gt;=50,1,0)</f>
        <v>1</v>
      </c>
      <c r="L146" s="17" t="n">
        <f aca="false">IF(H146="0 (checked)",2,IF(H146="Unverified",1,IF(H146="1 (checked)",0.5,0)))</f>
        <v>1</v>
      </c>
      <c r="M146" s="17" t="n">
        <f aca="false">I146+J146+K146+L146</f>
        <v>7</v>
      </c>
      <c r="N146" s="15" t="str">
        <f aca="false">IF(C146&lt;25,"Nano (&lt;$25M)",IF(C146&lt;100,"$25-100M",IF(C146&lt;250,"$100-250M","$250-500M")))</f>
        <v>$100-250M</v>
      </c>
    </row>
    <row r="147" customFormat="false" ht="35.05" hidden="false" customHeight="false" outlineLevel="0" collapsed="false">
      <c r="A147" s="12" t="s">
        <v>427</v>
      </c>
      <c r="B147" s="13" t="s">
        <v>428</v>
      </c>
      <c r="C147" s="14" t="n">
        <v>181.92</v>
      </c>
      <c r="D147" s="15" t="s">
        <v>12</v>
      </c>
      <c r="E147" s="13" t="s">
        <v>173</v>
      </c>
      <c r="F147" s="13" t="s">
        <v>174</v>
      </c>
      <c r="G147" s="13"/>
      <c r="H147" s="16" t="s">
        <v>63</v>
      </c>
      <c r="I147" s="15" t="n">
        <v>2</v>
      </c>
      <c r="J147" s="15" t="n">
        <v>3</v>
      </c>
      <c r="K147" s="15" t="n">
        <f aca="false">IF(C147&gt;=50,1,0)</f>
        <v>1</v>
      </c>
      <c r="L147" s="17" t="n">
        <f aca="false">IF(H147="0 (checked)",2,IF(H147="Unverified",1,IF(H147="1 (checked)",0.5,0)))</f>
        <v>1</v>
      </c>
      <c r="M147" s="17" t="n">
        <f aca="false">I147+J147+K147+L147</f>
        <v>7</v>
      </c>
      <c r="N147" s="15" t="str">
        <f aca="false">IF(C147&lt;25,"Nano (&lt;$25M)",IF(C147&lt;100,"$25-100M",IF(C147&lt;250,"$100-250M","$250-500M")))</f>
        <v>$100-250M</v>
      </c>
    </row>
    <row r="148" customFormat="false" ht="35.05" hidden="false" customHeight="false" outlineLevel="0" collapsed="false">
      <c r="A148" s="12" t="s">
        <v>429</v>
      </c>
      <c r="B148" s="13" t="s">
        <v>430</v>
      </c>
      <c r="C148" s="14" t="n">
        <v>176.04</v>
      </c>
      <c r="D148" s="15" t="s">
        <v>12</v>
      </c>
      <c r="E148" s="13" t="s">
        <v>173</v>
      </c>
      <c r="F148" s="13" t="s">
        <v>174</v>
      </c>
      <c r="G148" s="13"/>
      <c r="H148" s="16" t="s">
        <v>63</v>
      </c>
      <c r="I148" s="15" t="n">
        <v>2</v>
      </c>
      <c r="J148" s="15" t="n">
        <v>3</v>
      </c>
      <c r="K148" s="15" t="n">
        <f aca="false">IF(C148&gt;=50,1,0)</f>
        <v>1</v>
      </c>
      <c r="L148" s="17" t="n">
        <f aca="false">IF(H148="0 (checked)",2,IF(H148="Unverified",1,IF(H148="1 (checked)",0.5,0)))</f>
        <v>1</v>
      </c>
      <c r="M148" s="17" t="n">
        <f aca="false">I148+J148+K148+L148</f>
        <v>7</v>
      </c>
      <c r="N148" s="15" t="str">
        <f aca="false">IF(C148&lt;25,"Nano (&lt;$25M)",IF(C148&lt;100,"$25-100M",IF(C148&lt;250,"$100-250M","$250-500M")))</f>
        <v>$100-250M</v>
      </c>
    </row>
    <row r="149" customFormat="false" ht="35.05" hidden="false" customHeight="false" outlineLevel="0" collapsed="false">
      <c r="A149" s="12" t="s">
        <v>431</v>
      </c>
      <c r="B149" s="13" t="s">
        <v>432</v>
      </c>
      <c r="C149" s="14" t="n">
        <v>174.2</v>
      </c>
      <c r="D149" s="15" t="s">
        <v>12</v>
      </c>
      <c r="E149" s="13" t="s">
        <v>173</v>
      </c>
      <c r="F149" s="13" t="s">
        <v>174</v>
      </c>
      <c r="G149" s="13"/>
      <c r="H149" s="16" t="s">
        <v>63</v>
      </c>
      <c r="I149" s="15" t="n">
        <v>2</v>
      </c>
      <c r="J149" s="15" t="n">
        <v>3</v>
      </c>
      <c r="K149" s="15" t="n">
        <f aca="false">IF(C149&gt;=50,1,0)</f>
        <v>1</v>
      </c>
      <c r="L149" s="17" t="n">
        <f aca="false">IF(H149="0 (checked)",2,IF(H149="Unverified",1,IF(H149="1 (checked)",0.5,0)))</f>
        <v>1</v>
      </c>
      <c r="M149" s="17" t="n">
        <f aca="false">I149+J149+K149+L149</f>
        <v>7</v>
      </c>
      <c r="N149" s="15" t="str">
        <f aca="false">IF(C149&lt;25,"Nano (&lt;$25M)",IF(C149&lt;100,"$25-100M",IF(C149&lt;250,"$100-250M","$250-500M")))</f>
        <v>$100-250M</v>
      </c>
    </row>
    <row r="150" customFormat="false" ht="35.05" hidden="false" customHeight="false" outlineLevel="0" collapsed="false">
      <c r="A150" s="12" t="s">
        <v>433</v>
      </c>
      <c r="B150" s="13" t="s">
        <v>434</v>
      </c>
      <c r="C150" s="14" t="n">
        <v>170.43</v>
      </c>
      <c r="D150" s="15" t="s">
        <v>12</v>
      </c>
      <c r="E150" s="13" t="s">
        <v>173</v>
      </c>
      <c r="F150" s="13" t="s">
        <v>174</v>
      </c>
      <c r="G150" s="13"/>
      <c r="H150" s="16" t="s">
        <v>63</v>
      </c>
      <c r="I150" s="15" t="n">
        <v>2</v>
      </c>
      <c r="J150" s="15" t="n">
        <v>3</v>
      </c>
      <c r="K150" s="15" t="n">
        <f aca="false">IF(C150&gt;=50,1,0)</f>
        <v>1</v>
      </c>
      <c r="L150" s="17" t="n">
        <f aca="false">IF(H150="0 (checked)",2,IF(H150="Unverified",1,IF(H150="1 (checked)",0.5,0)))</f>
        <v>1</v>
      </c>
      <c r="M150" s="17" t="n">
        <f aca="false">I150+J150+K150+L150</f>
        <v>7</v>
      </c>
      <c r="N150" s="15" t="str">
        <f aca="false">IF(C150&lt;25,"Nano (&lt;$25M)",IF(C150&lt;100,"$25-100M",IF(C150&lt;250,"$100-250M","$250-500M")))</f>
        <v>$100-250M</v>
      </c>
    </row>
    <row r="151" customFormat="false" ht="35.05" hidden="false" customHeight="false" outlineLevel="0" collapsed="false">
      <c r="A151" s="12" t="s">
        <v>435</v>
      </c>
      <c r="B151" s="13" t="s">
        <v>436</v>
      </c>
      <c r="C151" s="14" t="n">
        <v>157.3</v>
      </c>
      <c r="D151" s="15" t="s">
        <v>12</v>
      </c>
      <c r="E151" s="13" t="s">
        <v>173</v>
      </c>
      <c r="F151" s="13" t="s">
        <v>174</v>
      </c>
      <c r="G151" s="13"/>
      <c r="H151" s="16" t="s">
        <v>63</v>
      </c>
      <c r="I151" s="15" t="n">
        <v>2</v>
      </c>
      <c r="J151" s="15" t="n">
        <v>3</v>
      </c>
      <c r="K151" s="15" t="n">
        <f aca="false">IF(C151&gt;=50,1,0)</f>
        <v>1</v>
      </c>
      <c r="L151" s="17" t="n">
        <f aca="false">IF(H151="0 (checked)",2,IF(H151="Unverified",1,IF(H151="1 (checked)",0.5,0)))</f>
        <v>1</v>
      </c>
      <c r="M151" s="17" t="n">
        <f aca="false">I151+J151+K151+L151</f>
        <v>7</v>
      </c>
      <c r="N151" s="15" t="str">
        <f aca="false">IF(C151&lt;25,"Nano (&lt;$25M)",IF(C151&lt;100,"$25-100M",IF(C151&lt;250,"$100-250M","$250-500M")))</f>
        <v>$100-250M</v>
      </c>
    </row>
    <row r="152" customFormat="false" ht="35.05" hidden="false" customHeight="false" outlineLevel="0" collapsed="false">
      <c r="A152" s="12" t="s">
        <v>437</v>
      </c>
      <c r="B152" s="13" t="s">
        <v>438</v>
      </c>
      <c r="C152" s="14" t="n">
        <v>151.82</v>
      </c>
      <c r="D152" s="15" t="s">
        <v>12</v>
      </c>
      <c r="E152" s="13" t="s">
        <v>173</v>
      </c>
      <c r="F152" s="13" t="s">
        <v>174</v>
      </c>
      <c r="G152" s="13"/>
      <c r="H152" s="16" t="s">
        <v>63</v>
      </c>
      <c r="I152" s="15" t="n">
        <v>2</v>
      </c>
      <c r="J152" s="15" t="n">
        <v>3</v>
      </c>
      <c r="K152" s="15" t="n">
        <f aca="false">IF(C152&gt;=50,1,0)</f>
        <v>1</v>
      </c>
      <c r="L152" s="17" t="n">
        <f aca="false">IF(H152="0 (checked)",2,IF(H152="Unverified",1,IF(H152="1 (checked)",0.5,0)))</f>
        <v>1</v>
      </c>
      <c r="M152" s="17" t="n">
        <f aca="false">I152+J152+K152+L152</f>
        <v>7</v>
      </c>
      <c r="N152" s="15" t="str">
        <f aca="false">IF(C152&lt;25,"Nano (&lt;$25M)",IF(C152&lt;100,"$25-100M",IF(C152&lt;250,"$100-250M","$250-500M")))</f>
        <v>$100-250M</v>
      </c>
    </row>
    <row r="153" customFormat="false" ht="35.05" hidden="false" customHeight="false" outlineLevel="0" collapsed="false">
      <c r="A153" s="12" t="s">
        <v>439</v>
      </c>
      <c r="B153" s="13" t="s">
        <v>440</v>
      </c>
      <c r="C153" s="14" t="n">
        <v>145.57</v>
      </c>
      <c r="D153" s="15" t="s">
        <v>22</v>
      </c>
      <c r="E153" s="13" t="s">
        <v>267</v>
      </c>
      <c r="F153" s="13" t="s">
        <v>268</v>
      </c>
      <c r="G153" s="13"/>
      <c r="H153" s="16" t="s">
        <v>63</v>
      </c>
      <c r="I153" s="15" t="n">
        <v>2</v>
      </c>
      <c r="J153" s="15" t="n">
        <v>3</v>
      </c>
      <c r="K153" s="15" t="n">
        <f aca="false">IF(C153&gt;=50,1,0)</f>
        <v>1</v>
      </c>
      <c r="L153" s="17" t="n">
        <f aca="false">IF(H153="0 (checked)",2,IF(H153="Unverified",1,IF(H153="1 (checked)",0.5,0)))</f>
        <v>1</v>
      </c>
      <c r="M153" s="17" t="n">
        <f aca="false">I153+J153+K153+L153</f>
        <v>7</v>
      </c>
      <c r="N153" s="15" t="str">
        <f aca="false">IF(C153&lt;25,"Nano (&lt;$25M)",IF(C153&lt;100,"$25-100M",IF(C153&lt;250,"$100-250M","$250-500M")))</f>
        <v>$100-250M</v>
      </c>
    </row>
    <row r="154" customFormat="false" ht="35.05" hidden="false" customHeight="false" outlineLevel="0" collapsed="false">
      <c r="A154" s="12" t="s">
        <v>441</v>
      </c>
      <c r="B154" s="13" t="s">
        <v>442</v>
      </c>
      <c r="C154" s="14" t="n">
        <v>138.74</v>
      </c>
      <c r="D154" s="15" t="s">
        <v>12</v>
      </c>
      <c r="E154" s="13" t="s">
        <v>173</v>
      </c>
      <c r="F154" s="13" t="s">
        <v>174</v>
      </c>
      <c r="G154" s="13"/>
      <c r="H154" s="16" t="s">
        <v>63</v>
      </c>
      <c r="I154" s="15" t="n">
        <v>2</v>
      </c>
      <c r="J154" s="15" t="n">
        <v>3</v>
      </c>
      <c r="K154" s="15" t="n">
        <f aca="false">IF(C154&gt;=50,1,0)</f>
        <v>1</v>
      </c>
      <c r="L154" s="17" t="n">
        <f aca="false">IF(H154="0 (checked)",2,IF(H154="Unverified",1,IF(H154="1 (checked)",0.5,0)))</f>
        <v>1</v>
      </c>
      <c r="M154" s="17" t="n">
        <f aca="false">I154+J154+K154+L154</f>
        <v>7</v>
      </c>
      <c r="N154" s="15" t="str">
        <f aca="false">IF(C154&lt;25,"Nano (&lt;$25M)",IF(C154&lt;100,"$25-100M",IF(C154&lt;250,"$100-250M","$250-500M")))</f>
        <v>$100-250M</v>
      </c>
    </row>
    <row r="155" customFormat="false" ht="35.05" hidden="false" customHeight="false" outlineLevel="0" collapsed="false">
      <c r="A155" s="12" t="s">
        <v>443</v>
      </c>
      <c r="B155" s="13" t="s">
        <v>444</v>
      </c>
      <c r="C155" s="14" t="n">
        <v>135.95</v>
      </c>
      <c r="D155" s="15" t="s">
        <v>12</v>
      </c>
      <c r="E155" s="13" t="s">
        <v>173</v>
      </c>
      <c r="F155" s="13" t="s">
        <v>174</v>
      </c>
      <c r="G155" s="13"/>
      <c r="H155" s="16" t="s">
        <v>63</v>
      </c>
      <c r="I155" s="15" t="n">
        <v>2</v>
      </c>
      <c r="J155" s="15" t="n">
        <v>3</v>
      </c>
      <c r="K155" s="15" t="n">
        <f aca="false">IF(C155&gt;=50,1,0)</f>
        <v>1</v>
      </c>
      <c r="L155" s="17" t="n">
        <f aca="false">IF(H155="0 (checked)",2,IF(H155="Unverified",1,IF(H155="1 (checked)",0.5,0)))</f>
        <v>1</v>
      </c>
      <c r="M155" s="17" t="n">
        <f aca="false">I155+J155+K155+L155</f>
        <v>7</v>
      </c>
      <c r="N155" s="15" t="str">
        <f aca="false">IF(C155&lt;25,"Nano (&lt;$25M)",IF(C155&lt;100,"$25-100M",IF(C155&lt;250,"$100-250M","$250-500M")))</f>
        <v>$100-250M</v>
      </c>
    </row>
    <row r="156" customFormat="false" ht="35.05" hidden="false" customHeight="false" outlineLevel="0" collapsed="false">
      <c r="A156" s="12" t="s">
        <v>445</v>
      </c>
      <c r="B156" s="13" t="s">
        <v>446</v>
      </c>
      <c r="C156" s="14" t="n">
        <v>134.38</v>
      </c>
      <c r="D156" s="15" t="s">
        <v>22</v>
      </c>
      <c r="E156" s="13" t="s">
        <v>267</v>
      </c>
      <c r="F156" s="13" t="s">
        <v>268</v>
      </c>
      <c r="G156" s="13"/>
      <c r="H156" s="16" t="s">
        <v>63</v>
      </c>
      <c r="I156" s="15" t="n">
        <v>2</v>
      </c>
      <c r="J156" s="15" t="n">
        <v>3</v>
      </c>
      <c r="K156" s="15" t="n">
        <f aca="false">IF(C156&gt;=50,1,0)</f>
        <v>1</v>
      </c>
      <c r="L156" s="17" t="n">
        <f aca="false">IF(H156="0 (checked)",2,IF(H156="Unverified",1,IF(H156="1 (checked)",0.5,0)))</f>
        <v>1</v>
      </c>
      <c r="M156" s="17" t="n">
        <f aca="false">I156+J156+K156+L156</f>
        <v>7</v>
      </c>
      <c r="N156" s="15" t="str">
        <f aca="false">IF(C156&lt;25,"Nano (&lt;$25M)",IF(C156&lt;100,"$25-100M",IF(C156&lt;250,"$100-250M","$250-500M")))</f>
        <v>$100-250M</v>
      </c>
    </row>
    <row r="157" customFormat="false" ht="35.05" hidden="false" customHeight="false" outlineLevel="0" collapsed="false">
      <c r="A157" s="12" t="s">
        <v>447</v>
      </c>
      <c r="B157" s="13" t="s">
        <v>448</v>
      </c>
      <c r="C157" s="14" t="n">
        <v>134</v>
      </c>
      <c r="D157" s="15" t="s">
        <v>12</v>
      </c>
      <c r="E157" s="13" t="s">
        <v>173</v>
      </c>
      <c r="F157" s="13" t="s">
        <v>174</v>
      </c>
      <c r="G157" s="13"/>
      <c r="H157" s="16" t="s">
        <v>63</v>
      </c>
      <c r="I157" s="15" t="n">
        <v>2</v>
      </c>
      <c r="J157" s="15" t="n">
        <v>3</v>
      </c>
      <c r="K157" s="15" t="n">
        <f aca="false">IF(C157&gt;=50,1,0)</f>
        <v>1</v>
      </c>
      <c r="L157" s="17" t="n">
        <f aca="false">IF(H157="0 (checked)",2,IF(H157="Unverified",1,IF(H157="1 (checked)",0.5,0)))</f>
        <v>1</v>
      </c>
      <c r="M157" s="17" t="n">
        <f aca="false">I157+J157+K157+L157</f>
        <v>7</v>
      </c>
      <c r="N157" s="15" t="str">
        <f aca="false">IF(C157&lt;25,"Nano (&lt;$25M)",IF(C157&lt;100,"$25-100M",IF(C157&lt;250,"$100-250M","$250-500M")))</f>
        <v>$100-250M</v>
      </c>
    </row>
    <row r="158" customFormat="false" ht="23.85" hidden="false" customHeight="false" outlineLevel="0" collapsed="false">
      <c r="A158" s="12" t="s">
        <v>449</v>
      </c>
      <c r="B158" s="13" t="s">
        <v>450</v>
      </c>
      <c r="C158" s="14" t="n">
        <v>131.85</v>
      </c>
      <c r="D158" s="15" t="s">
        <v>30</v>
      </c>
      <c r="E158" s="13" t="s">
        <v>380</v>
      </c>
      <c r="F158" s="13" t="s">
        <v>381</v>
      </c>
      <c r="G158" s="13" t="s">
        <v>451</v>
      </c>
      <c r="H158" s="16" t="s">
        <v>63</v>
      </c>
      <c r="I158" s="15" t="n">
        <v>3</v>
      </c>
      <c r="J158" s="15" t="n">
        <v>2</v>
      </c>
      <c r="K158" s="15" t="n">
        <f aca="false">IF(C158&gt;=50,1,0)</f>
        <v>1</v>
      </c>
      <c r="L158" s="17" t="n">
        <f aca="false">IF(H158="0 (checked)",2,IF(H158="Unverified",1,IF(H158="1 (checked)",0.5,0)))</f>
        <v>1</v>
      </c>
      <c r="M158" s="17" t="n">
        <f aca="false">I158+J158+K158+L158</f>
        <v>7</v>
      </c>
      <c r="N158" s="15" t="str">
        <f aca="false">IF(C158&lt;25,"Nano (&lt;$25M)",IF(C158&lt;100,"$25-100M",IF(C158&lt;250,"$100-250M","$250-500M")))</f>
        <v>$100-250M</v>
      </c>
    </row>
    <row r="159" customFormat="false" ht="35.05" hidden="false" customHeight="false" outlineLevel="0" collapsed="false">
      <c r="A159" s="12" t="s">
        <v>452</v>
      </c>
      <c r="B159" s="13" t="s">
        <v>453</v>
      </c>
      <c r="C159" s="14" t="n">
        <v>128.01</v>
      </c>
      <c r="D159" s="15" t="s">
        <v>12</v>
      </c>
      <c r="E159" s="13" t="s">
        <v>173</v>
      </c>
      <c r="F159" s="13" t="s">
        <v>174</v>
      </c>
      <c r="G159" s="13"/>
      <c r="H159" s="16" t="s">
        <v>63</v>
      </c>
      <c r="I159" s="15" t="n">
        <v>2</v>
      </c>
      <c r="J159" s="15" t="n">
        <v>3</v>
      </c>
      <c r="K159" s="15" t="n">
        <f aca="false">IF(C159&gt;=50,1,0)</f>
        <v>1</v>
      </c>
      <c r="L159" s="17" t="n">
        <f aca="false">IF(H159="0 (checked)",2,IF(H159="Unverified",1,IF(H159="1 (checked)",0.5,0)))</f>
        <v>1</v>
      </c>
      <c r="M159" s="17" t="n">
        <f aca="false">I159+J159+K159+L159</f>
        <v>7</v>
      </c>
      <c r="N159" s="15" t="str">
        <f aca="false">IF(C159&lt;25,"Nano (&lt;$25M)",IF(C159&lt;100,"$25-100M",IF(C159&lt;250,"$100-250M","$250-500M")))</f>
        <v>$100-250M</v>
      </c>
    </row>
    <row r="160" customFormat="false" ht="23.85" hidden="false" customHeight="false" outlineLevel="0" collapsed="false">
      <c r="A160" s="12" t="s">
        <v>454</v>
      </c>
      <c r="B160" s="13" t="s">
        <v>455</v>
      </c>
      <c r="C160" s="14" t="n">
        <v>127.83</v>
      </c>
      <c r="D160" s="15" t="s">
        <v>24</v>
      </c>
      <c r="E160" s="13" t="s">
        <v>225</v>
      </c>
      <c r="F160" s="13" t="s">
        <v>226</v>
      </c>
      <c r="G160" s="13" t="s">
        <v>456</v>
      </c>
      <c r="H160" s="16" t="s">
        <v>63</v>
      </c>
      <c r="I160" s="15" t="n">
        <v>3</v>
      </c>
      <c r="J160" s="15" t="n">
        <v>2</v>
      </c>
      <c r="K160" s="15" t="n">
        <f aca="false">IF(C160&gt;=50,1,0)</f>
        <v>1</v>
      </c>
      <c r="L160" s="17" t="n">
        <f aca="false">IF(H160="0 (checked)",2,IF(H160="Unverified",1,IF(H160="1 (checked)",0.5,0)))</f>
        <v>1</v>
      </c>
      <c r="M160" s="17" t="n">
        <f aca="false">I160+J160+K160+L160</f>
        <v>7</v>
      </c>
      <c r="N160" s="15" t="str">
        <f aca="false">IF(C160&lt;25,"Nano (&lt;$25M)",IF(C160&lt;100,"$25-100M",IF(C160&lt;250,"$100-250M","$250-500M")))</f>
        <v>$100-250M</v>
      </c>
    </row>
    <row r="161" customFormat="false" ht="35.05" hidden="false" customHeight="false" outlineLevel="0" collapsed="false">
      <c r="A161" s="12" t="s">
        <v>457</v>
      </c>
      <c r="B161" s="13" t="s">
        <v>458</v>
      </c>
      <c r="C161" s="14" t="n">
        <v>126.76</v>
      </c>
      <c r="D161" s="15" t="s">
        <v>12</v>
      </c>
      <c r="E161" s="13" t="s">
        <v>173</v>
      </c>
      <c r="F161" s="13" t="s">
        <v>174</v>
      </c>
      <c r="G161" s="13"/>
      <c r="H161" s="16" t="s">
        <v>63</v>
      </c>
      <c r="I161" s="15" t="n">
        <v>2</v>
      </c>
      <c r="J161" s="15" t="n">
        <v>3</v>
      </c>
      <c r="K161" s="15" t="n">
        <f aca="false">IF(C161&gt;=50,1,0)</f>
        <v>1</v>
      </c>
      <c r="L161" s="17" t="n">
        <f aca="false">IF(H161="0 (checked)",2,IF(H161="Unverified",1,IF(H161="1 (checked)",0.5,0)))</f>
        <v>1</v>
      </c>
      <c r="M161" s="17" t="n">
        <f aca="false">I161+J161+K161+L161</f>
        <v>7</v>
      </c>
      <c r="N161" s="15" t="str">
        <f aca="false">IF(C161&lt;25,"Nano (&lt;$25M)",IF(C161&lt;100,"$25-100M",IF(C161&lt;250,"$100-250M","$250-500M")))</f>
        <v>$100-250M</v>
      </c>
    </row>
    <row r="162" customFormat="false" ht="35.05" hidden="false" customHeight="false" outlineLevel="0" collapsed="false">
      <c r="A162" s="12" t="s">
        <v>459</v>
      </c>
      <c r="B162" s="13" t="s">
        <v>460</v>
      </c>
      <c r="C162" s="14" t="n">
        <v>123.71</v>
      </c>
      <c r="D162" s="15" t="s">
        <v>12</v>
      </c>
      <c r="E162" s="13" t="s">
        <v>173</v>
      </c>
      <c r="F162" s="13" t="s">
        <v>174</v>
      </c>
      <c r="G162" s="13"/>
      <c r="H162" s="16" t="s">
        <v>63</v>
      </c>
      <c r="I162" s="15" t="n">
        <v>2</v>
      </c>
      <c r="J162" s="15" t="n">
        <v>3</v>
      </c>
      <c r="K162" s="15" t="n">
        <f aca="false">IF(C162&gt;=50,1,0)</f>
        <v>1</v>
      </c>
      <c r="L162" s="17" t="n">
        <f aca="false">IF(H162="0 (checked)",2,IF(H162="Unverified",1,IF(H162="1 (checked)",0.5,0)))</f>
        <v>1</v>
      </c>
      <c r="M162" s="17" t="n">
        <f aca="false">I162+J162+K162+L162</f>
        <v>7</v>
      </c>
      <c r="N162" s="15" t="str">
        <f aca="false">IF(C162&lt;25,"Nano (&lt;$25M)",IF(C162&lt;100,"$25-100M",IF(C162&lt;250,"$100-250M","$250-500M")))</f>
        <v>$100-250M</v>
      </c>
    </row>
    <row r="163" customFormat="false" ht="23.85" hidden="false" customHeight="false" outlineLevel="0" collapsed="false">
      <c r="A163" s="12" t="s">
        <v>461</v>
      </c>
      <c r="B163" s="13" t="s">
        <v>462</v>
      </c>
      <c r="C163" s="14" t="n">
        <v>121.63</v>
      </c>
      <c r="D163" s="15" t="s">
        <v>19</v>
      </c>
      <c r="E163" s="13" t="s">
        <v>155</v>
      </c>
      <c r="F163" s="13" t="s">
        <v>156</v>
      </c>
      <c r="G163" s="13"/>
      <c r="H163" s="16" t="s">
        <v>63</v>
      </c>
      <c r="I163" s="15" t="n">
        <v>2</v>
      </c>
      <c r="J163" s="15" t="n">
        <v>3</v>
      </c>
      <c r="K163" s="15" t="n">
        <f aca="false">IF(C163&gt;=50,1,0)</f>
        <v>1</v>
      </c>
      <c r="L163" s="17" t="n">
        <f aca="false">IF(H163="0 (checked)",2,IF(H163="Unverified",1,IF(H163="1 (checked)",0.5,0)))</f>
        <v>1</v>
      </c>
      <c r="M163" s="17" t="n">
        <f aca="false">I163+J163+K163+L163</f>
        <v>7</v>
      </c>
      <c r="N163" s="15" t="str">
        <f aca="false">IF(C163&lt;25,"Nano (&lt;$25M)",IF(C163&lt;100,"$25-100M",IF(C163&lt;250,"$100-250M","$250-500M")))</f>
        <v>$100-250M</v>
      </c>
    </row>
    <row r="164" customFormat="false" ht="35.05" hidden="false" customHeight="false" outlineLevel="0" collapsed="false">
      <c r="A164" s="12" t="s">
        <v>463</v>
      </c>
      <c r="B164" s="13" t="s">
        <v>464</v>
      </c>
      <c r="C164" s="14" t="n">
        <v>120.51</v>
      </c>
      <c r="D164" s="15" t="s">
        <v>12</v>
      </c>
      <c r="E164" s="13" t="s">
        <v>173</v>
      </c>
      <c r="F164" s="13" t="s">
        <v>174</v>
      </c>
      <c r="G164" s="13"/>
      <c r="H164" s="16" t="s">
        <v>63</v>
      </c>
      <c r="I164" s="15" t="n">
        <v>2</v>
      </c>
      <c r="J164" s="15" t="n">
        <v>3</v>
      </c>
      <c r="K164" s="15" t="n">
        <f aca="false">IF(C164&gt;=50,1,0)</f>
        <v>1</v>
      </c>
      <c r="L164" s="17" t="n">
        <f aca="false">IF(H164="0 (checked)",2,IF(H164="Unverified",1,IF(H164="1 (checked)",0.5,0)))</f>
        <v>1</v>
      </c>
      <c r="M164" s="17" t="n">
        <f aca="false">I164+J164+K164+L164</f>
        <v>7</v>
      </c>
      <c r="N164" s="15" t="str">
        <f aca="false">IF(C164&lt;25,"Nano (&lt;$25M)",IF(C164&lt;100,"$25-100M",IF(C164&lt;250,"$100-250M","$250-500M")))</f>
        <v>$100-250M</v>
      </c>
    </row>
    <row r="165" customFormat="false" ht="35.05" hidden="false" customHeight="false" outlineLevel="0" collapsed="false">
      <c r="A165" s="12" t="s">
        <v>465</v>
      </c>
      <c r="B165" s="13" t="s">
        <v>466</v>
      </c>
      <c r="C165" s="14" t="n">
        <v>120.1</v>
      </c>
      <c r="D165" s="15" t="s">
        <v>12</v>
      </c>
      <c r="E165" s="13" t="s">
        <v>173</v>
      </c>
      <c r="F165" s="13" t="s">
        <v>174</v>
      </c>
      <c r="G165" s="13" t="s">
        <v>467</v>
      </c>
      <c r="H165" s="16" t="s">
        <v>63</v>
      </c>
      <c r="I165" s="15" t="n">
        <v>2</v>
      </c>
      <c r="J165" s="15" t="n">
        <v>3</v>
      </c>
      <c r="K165" s="15" t="n">
        <f aca="false">IF(C165&gt;=50,1,0)</f>
        <v>1</v>
      </c>
      <c r="L165" s="17" t="n">
        <f aca="false">IF(H165="0 (checked)",2,IF(H165="Unverified",1,IF(H165="1 (checked)",0.5,0)))</f>
        <v>1</v>
      </c>
      <c r="M165" s="17" t="n">
        <f aca="false">I165+J165+K165+L165</f>
        <v>7</v>
      </c>
      <c r="N165" s="15" t="str">
        <f aca="false">IF(C165&lt;25,"Nano (&lt;$25M)",IF(C165&lt;100,"$25-100M",IF(C165&lt;250,"$100-250M","$250-500M")))</f>
        <v>$100-250M</v>
      </c>
    </row>
    <row r="166" customFormat="false" ht="35.05" hidden="false" customHeight="false" outlineLevel="0" collapsed="false">
      <c r="A166" s="12" t="s">
        <v>468</v>
      </c>
      <c r="B166" s="13" t="s">
        <v>469</v>
      </c>
      <c r="C166" s="14" t="n">
        <v>118.21</v>
      </c>
      <c r="D166" s="15" t="s">
        <v>12</v>
      </c>
      <c r="E166" s="13" t="s">
        <v>173</v>
      </c>
      <c r="F166" s="13" t="s">
        <v>174</v>
      </c>
      <c r="G166" s="13"/>
      <c r="H166" s="16" t="s">
        <v>63</v>
      </c>
      <c r="I166" s="15" t="n">
        <v>2</v>
      </c>
      <c r="J166" s="15" t="n">
        <v>3</v>
      </c>
      <c r="K166" s="15" t="n">
        <f aca="false">IF(C166&gt;=50,1,0)</f>
        <v>1</v>
      </c>
      <c r="L166" s="17" t="n">
        <f aca="false">IF(H166="0 (checked)",2,IF(H166="Unverified",1,IF(H166="1 (checked)",0.5,0)))</f>
        <v>1</v>
      </c>
      <c r="M166" s="17" t="n">
        <f aca="false">I166+J166+K166+L166</f>
        <v>7</v>
      </c>
      <c r="N166" s="15" t="str">
        <f aca="false">IF(C166&lt;25,"Nano (&lt;$25M)",IF(C166&lt;100,"$25-100M",IF(C166&lt;250,"$100-250M","$250-500M")))</f>
        <v>$100-250M</v>
      </c>
    </row>
    <row r="167" customFormat="false" ht="35.05" hidden="false" customHeight="false" outlineLevel="0" collapsed="false">
      <c r="A167" s="12" t="s">
        <v>470</v>
      </c>
      <c r="B167" s="13" t="s">
        <v>471</v>
      </c>
      <c r="C167" s="14" t="n">
        <v>116.64</v>
      </c>
      <c r="D167" s="15" t="s">
        <v>12</v>
      </c>
      <c r="E167" s="13" t="s">
        <v>173</v>
      </c>
      <c r="F167" s="13" t="s">
        <v>174</v>
      </c>
      <c r="G167" s="13"/>
      <c r="H167" s="16" t="s">
        <v>63</v>
      </c>
      <c r="I167" s="15" t="n">
        <v>2</v>
      </c>
      <c r="J167" s="15" t="n">
        <v>3</v>
      </c>
      <c r="K167" s="15" t="n">
        <f aca="false">IF(C167&gt;=50,1,0)</f>
        <v>1</v>
      </c>
      <c r="L167" s="17" t="n">
        <f aca="false">IF(H167="0 (checked)",2,IF(H167="Unverified",1,IF(H167="1 (checked)",0.5,0)))</f>
        <v>1</v>
      </c>
      <c r="M167" s="17" t="n">
        <f aca="false">I167+J167+K167+L167</f>
        <v>7</v>
      </c>
      <c r="N167" s="15" t="str">
        <f aca="false">IF(C167&lt;25,"Nano (&lt;$25M)",IF(C167&lt;100,"$25-100M",IF(C167&lt;250,"$100-250M","$250-500M")))</f>
        <v>$100-250M</v>
      </c>
    </row>
    <row r="168" customFormat="false" ht="35.05" hidden="false" customHeight="false" outlineLevel="0" collapsed="false">
      <c r="A168" s="12" t="s">
        <v>472</v>
      </c>
      <c r="B168" s="13" t="s">
        <v>473</v>
      </c>
      <c r="C168" s="14" t="n">
        <v>113.5</v>
      </c>
      <c r="D168" s="15" t="s">
        <v>12</v>
      </c>
      <c r="E168" s="13" t="s">
        <v>173</v>
      </c>
      <c r="F168" s="13" t="s">
        <v>174</v>
      </c>
      <c r="G168" s="13"/>
      <c r="H168" s="16" t="s">
        <v>63</v>
      </c>
      <c r="I168" s="15" t="n">
        <v>2</v>
      </c>
      <c r="J168" s="15" t="n">
        <v>3</v>
      </c>
      <c r="K168" s="15" t="n">
        <f aca="false">IF(C168&gt;=50,1,0)</f>
        <v>1</v>
      </c>
      <c r="L168" s="17" t="n">
        <f aca="false">IF(H168="0 (checked)",2,IF(H168="Unverified",1,IF(H168="1 (checked)",0.5,0)))</f>
        <v>1</v>
      </c>
      <c r="M168" s="17" t="n">
        <f aca="false">I168+J168+K168+L168</f>
        <v>7</v>
      </c>
      <c r="N168" s="15" t="str">
        <f aca="false">IF(C168&lt;25,"Nano (&lt;$25M)",IF(C168&lt;100,"$25-100M",IF(C168&lt;250,"$100-250M","$250-500M")))</f>
        <v>$100-250M</v>
      </c>
    </row>
    <row r="169" customFormat="false" ht="35.05" hidden="false" customHeight="false" outlineLevel="0" collapsed="false">
      <c r="A169" s="12" t="s">
        <v>474</v>
      </c>
      <c r="B169" s="13" t="s">
        <v>475</v>
      </c>
      <c r="C169" s="14" t="n">
        <v>107.99</v>
      </c>
      <c r="D169" s="15" t="s">
        <v>12</v>
      </c>
      <c r="E169" s="13" t="s">
        <v>173</v>
      </c>
      <c r="F169" s="13" t="s">
        <v>174</v>
      </c>
      <c r="G169" s="13"/>
      <c r="H169" s="16" t="s">
        <v>63</v>
      </c>
      <c r="I169" s="15" t="n">
        <v>2</v>
      </c>
      <c r="J169" s="15" t="n">
        <v>3</v>
      </c>
      <c r="K169" s="15" t="n">
        <f aca="false">IF(C169&gt;=50,1,0)</f>
        <v>1</v>
      </c>
      <c r="L169" s="17" t="n">
        <f aca="false">IF(H169="0 (checked)",2,IF(H169="Unverified",1,IF(H169="1 (checked)",0.5,0)))</f>
        <v>1</v>
      </c>
      <c r="M169" s="17" t="n">
        <f aca="false">I169+J169+K169+L169</f>
        <v>7</v>
      </c>
      <c r="N169" s="15" t="str">
        <f aca="false">IF(C169&lt;25,"Nano (&lt;$25M)",IF(C169&lt;100,"$25-100M",IF(C169&lt;250,"$100-250M","$250-500M")))</f>
        <v>$100-250M</v>
      </c>
    </row>
    <row r="170" customFormat="false" ht="35.05" hidden="false" customHeight="false" outlineLevel="0" collapsed="false">
      <c r="A170" s="12" t="s">
        <v>476</v>
      </c>
      <c r="B170" s="13" t="s">
        <v>477</v>
      </c>
      <c r="C170" s="14" t="n">
        <v>106.15</v>
      </c>
      <c r="D170" s="15" t="s">
        <v>12</v>
      </c>
      <c r="E170" s="13" t="s">
        <v>173</v>
      </c>
      <c r="F170" s="13" t="s">
        <v>174</v>
      </c>
      <c r="G170" s="13"/>
      <c r="H170" s="16" t="s">
        <v>63</v>
      </c>
      <c r="I170" s="15" t="n">
        <v>2</v>
      </c>
      <c r="J170" s="15" t="n">
        <v>3</v>
      </c>
      <c r="K170" s="15" t="n">
        <f aca="false">IF(C170&gt;=50,1,0)</f>
        <v>1</v>
      </c>
      <c r="L170" s="17" t="n">
        <f aca="false">IF(H170="0 (checked)",2,IF(H170="Unverified",1,IF(H170="1 (checked)",0.5,0)))</f>
        <v>1</v>
      </c>
      <c r="M170" s="17" t="n">
        <f aca="false">I170+J170+K170+L170</f>
        <v>7</v>
      </c>
      <c r="N170" s="15" t="str">
        <f aca="false">IF(C170&lt;25,"Nano (&lt;$25M)",IF(C170&lt;100,"$25-100M",IF(C170&lt;250,"$100-250M","$250-500M")))</f>
        <v>$100-250M</v>
      </c>
    </row>
    <row r="171" customFormat="false" ht="35.05" hidden="false" customHeight="false" outlineLevel="0" collapsed="false">
      <c r="A171" s="12" t="s">
        <v>478</v>
      </c>
      <c r="B171" s="13" t="s">
        <v>479</v>
      </c>
      <c r="C171" s="14" t="n">
        <v>105.36</v>
      </c>
      <c r="D171" s="15" t="s">
        <v>12</v>
      </c>
      <c r="E171" s="13" t="s">
        <v>173</v>
      </c>
      <c r="F171" s="13" t="s">
        <v>174</v>
      </c>
      <c r="G171" s="13"/>
      <c r="H171" s="16" t="s">
        <v>63</v>
      </c>
      <c r="I171" s="15" t="n">
        <v>2</v>
      </c>
      <c r="J171" s="15" t="n">
        <v>3</v>
      </c>
      <c r="K171" s="15" t="n">
        <f aca="false">IF(C171&gt;=50,1,0)</f>
        <v>1</v>
      </c>
      <c r="L171" s="17" t="n">
        <f aca="false">IF(H171="0 (checked)",2,IF(H171="Unverified",1,IF(H171="1 (checked)",0.5,0)))</f>
        <v>1</v>
      </c>
      <c r="M171" s="17" t="n">
        <f aca="false">I171+J171+K171+L171</f>
        <v>7</v>
      </c>
      <c r="N171" s="15" t="str">
        <f aca="false">IF(C171&lt;25,"Nano (&lt;$25M)",IF(C171&lt;100,"$25-100M",IF(C171&lt;250,"$100-250M","$250-500M")))</f>
        <v>$100-250M</v>
      </c>
    </row>
    <row r="172" customFormat="false" ht="23.85" hidden="false" customHeight="false" outlineLevel="0" collapsed="false">
      <c r="A172" s="12" t="s">
        <v>480</v>
      </c>
      <c r="B172" s="13" t="s">
        <v>481</v>
      </c>
      <c r="C172" s="14" t="n">
        <v>99.93</v>
      </c>
      <c r="D172" s="15" t="s">
        <v>24</v>
      </c>
      <c r="E172" s="13" t="s">
        <v>225</v>
      </c>
      <c r="F172" s="13" t="s">
        <v>226</v>
      </c>
      <c r="G172" s="13" t="s">
        <v>375</v>
      </c>
      <c r="H172" s="16" t="s">
        <v>63</v>
      </c>
      <c r="I172" s="15" t="n">
        <v>3</v>
      </c>
      <c r="J172" s="15" t="n">
        <v>2</v>
      </c>
      <c r="K172" s="15" t="n">
        <f aca="false">IF(C172&gt;=50,1,0)</f>
        <v>1</v>
      </c>
      <c r="L172" s="17" t="n">
        <f aca="false">IF(H172="0 (checked)",2,IF(H172="Unverified",1,IF(H172="1 (checked)",0.5,0)))</f>
        <v>1</v>
      </c>
      <c r="M172" s="17" t="n">
        <f aca="false">I172+J172+K172+L172</f>
        <v>7</v>
      </c>
      <c r="N172" s="15" t="str">
        <f aca="false">IF(C172&lt;25,"Nano (&lt;$25M)",IF(C172&lt;100,"$25-100M",IF(C172&lt;250,"$100-250M","$250-500M")))</f>
        <v>$25-100M</v>
      </c>
    </row>
    <row r="173" customFormat="false" ht="35.05" hidden="false" customHeight="false" outlineLevel="0" collapsed="false">
      <c r="A173" s="12" t="s">
        <v>482</v>
      </c>
      <c r="B173" s="13" t="s">
        <v>483</v>
      </c>
      <c r="C173" s="14" t="n">
        <v>97.75</v>
      </c>
      <c r="D173" s="15" t="s">
        <v>12</v>
      </c>
      <c r="E173" s="13" t="s">
        <v>173</v>
      </c>
      <c r="F173" s="13" t="s">
        <v>174</v>
      </c>
      <c r="G173" s="13"/>
      <c r="H173" s="16" t="s">
        <v>63</v>
      </c>
      <c r="I173" s="15" t="n">
        <v>2</v>
      </c>
      <c r="J173" s="15" t="n">
        <v>3</v>
      </c>
      <c r="K173" s="15" t="n">
        <f aca="false">IF(C173&gt;=50,1,0)</f>
        <v>1</v>
      </c>
      <c r="L173" s="17" t="n">
        <f aca="false">IF(H173="0 (checked)",2,IF(H173="Unverified",1,IF(H173="1 (checked)",0.5,0)))</f>
        <v>1</v>
      </c>
      <c r="M173" s="17" t="n">
        <f aca="false">I173+J173+K173+L173</f>
        <v>7</v>
      </c>
      <c r="N173" s="15" t="str">
        <f aca="false">IF(C173&lt;25,"Nano (&lt;$25M)",IF(C173&lt;100,"$25-100M",IF(C173&lt;250,"$100-250M","$250-500M")))</f>
        <v>$25-100M</v>
      </c>
    </row>
    <row r="174" customFormat="false" ht="35.05" hidden="false" customHeight="false" outlineLevel="0" collapsed="false">
      <c r="A174" s="12" t="s">
        <v>484</v>
      </c>
      <c r="B174" s="13" t="s">
        <v>485</v>
      </c>
      <c r="C174" s="14" t="n">
        <v>94.95</v>
      </c>
      <c r="D174" s="15" t="s">
        <v>12</v>
      </c>
      <c r="E174" s="13" t="s">
        <v>173</v>
      </c>
      <c r="F174" s="13" t="s">
        <v>174</v>
      </c>
      <c r="G174" s="13"/>
      <c r="H174" s="16" t="s">
        <v>63</v>
      </c>
      <c r="I174" s="15" t="n">
        <v>2</v>
      </c>
      <c r="J174" s="15" t="n">
        <v>3</v>
      </c>
      <c r="K174" s="15" t="n">
        <f aca="false">IF(C174&gt;=50,1,0)</f>
        <v>1</v>
      </c>
      <c r="L174" s="17" t="n">
        <f aca="false">IF(H174="0 (checked)",2,IF(H174="Unverified",1,IF(H174="1 (checked)",0.5,0)))</f>
        <v>1</v>
      </c>
      <c r="M174" s="17" t="n">
        <f aca="false">I174+J174+K174+L174</f>
        <v>7</v>
      </c>
      <c r="N174" s="15" t="str">
        <f aca="false">IF(C174&lt;25,"Nano (&lt;$25M)",IF(C174&lt;100,"$25-100M",IF(C174&lt;250,"$100-250M","$250-500M")))</f>
        <v>$25-100M</v>
      </c>
    </row>
    <row r="175" customFormat="false" ht="35.05" hidden="false" customHeight="false" outlineLevel="0" collapsed="false">
      <c r="A175" s="12" t="s">
        <v>486</v>
      </c>
      <c r="B175" s="13" t="s">
        <v>487</v>
      </c>
      <c r="C175" s="14" t="n">
        <v>93.48</v>
      </c>
      <c r="D175" s="15" t="s">
        <v>12</v>
      </c>
      <c r="E175" s="13" t="s">
        <v>173</v>
      </c>
      <c r="F175" s="13" t="s">
        <v>174</v>
      </c>
      <c r="G175" s="13"/>
      <c r="H175" s="16" t="s">
        <v>63</v>
      </c>
      <c r="I175" s="15" t="n">
        <v>2</v>
      </c>
      <c r="J175" s="15" t="n">
        <v>3</v>
      </c>
      <c r="K175" s="15" t="n">
        <f aca="false">IF(C175&gt;=50,1,0)</f>
        <v>1</v>
      </c>
      <c r="L175" s="17" t="n">
        <f aca="false">IF(H175="0 (checked)",2,IF(H175="Unverified",1,IF(H175="1 (checked)",0.5,0)))</f>
        <v>1</v>
      </c>
      <c r="M175" s="17" t="n">
        <f aca="false">I175+J175+K175+L175</f>
        <v>7</v>
      </c>
      <c r="N175" s="15" t="str">
        <f aca="false">IF(C175&lt;25,"Nano (&lt;$25M)",IF(C175&lt;100,"$25-100M",IF(C175&lt;250,"$100-250M","$250-500M")))</f>
        <v>$25-100M</v>
      </c>
    </row>
    <row r="176" customFormat="false" ht="23.85" hidden="false" customHeight="false" outlineLevel="0" collapsed="false">
      <c r="A176" s="12" t="s">
        <v>488</v>
      </c>
      <c r="B176" s="13" t="s">
        <v>489</v>
      </c>
      <c r="C176" s="14" t="n">
        <v>91.39</v>
      </c>
      <c r="D176" s="15" t="s">
        <v>24</v>
      </c>
      <c r="E176" s="13" t="s">
        <v>225</v>
      </c>
      <c r="F176" s="13" t="s">
        <v>226</v>
      </c>
      <c r="G176" s="13" t="s">
        <v>490</v>
      </c>
      <c r="H176" s="16" t="s">
        <v>63</v>
      </c>
      <c r="I176" s="15" t="n">
        <v>3</v>
      </c>
      <c r="J176" s="15" t="n">
        <v>2</v>
      </c>
      <c r="K176" s="15" t="n">
        <f aca="false">IF(C176&gt;=50,1,0)</f>
        <v>1</v>
      </c>
      <c r="L176" s="17" t="n">
        <f aca="false">IF(H176="0 (checked)",2,IF(H176="Unverified",1,IF(H176="1 (checked)",0.5,0)))</f>
        <v>1</v>
      </c>
      <c r="M176" s="17" t="n">
        <f aca="false">I176+J176+K176+L176</f>
        <v>7</v>
      </c>
      <c r="N176" s="15" t="str">
        <f aca="false">IF(C176&lt;25,"Nano (&lt;$25M)",IF(C176&lt;100,"$25-100M",IF(C176&lt;250,"$100-250M","$250-500M")))</f>
        <v>$25-100M</v>
      </c>
    </row>
    <row r="177" customFormat="false" ht="35.05" hidden="false" customHeight="false" outlineLevel="0" collapsed="false">
      <c r="A177" s="12" t="s">
        <v>491</v>
      </c>
      <c r="B177" s="13" t="s">
        <v>492</v>
      </c>
      <c r="C177" s="14" t="n">
        <v>90.61</v>
      </c>
      <c r="D177" s="15" t="s">
        <v>12</v>
      </c>
      <c r="E177" s="13" t="s">
        <v>173</v>
      </c>
      <c r="F177" s="13" t="s">
        <v>174</v>
      </c>
      <c r="G177" s="13"/>
      <c r="H177" s="16" t="s">
        <v>63</v>
      </c>
      <c r="I177" s="15" t="n">
        <v>2</v>
      </c>
      <c r="J177" s="15" t="n">
        <v>3</v>
      </c>
      <c r="K177" s="15" t="n">
        <f aca="false">IF(C177&gt;=50,1,0)</f>
        <v>1</v>
      </c>
      <c r="L177" s="17" t="n">
        <f aca="false">IF(H177="0 (checked)",2,IF(H177="Unverified",1,IF(H177="1 (checked)",0.5,0)))</f>
        <v>1</v>
      </c>
      <c r="M177" s="17" t="n">
        <f aca="false">I177+J177+K177+L177</f>
        <v>7</v>
      </c>
      <c r="N177" s="15" t="str">
        <f aca="false">IF(C177&lt;25,"Nano (&lt;$25M)",IF(C177&lt;100,"$25-100M",IF(C177&lt;250,"$100-250M","$250-500M")))</f>
        <v>$25-100M</v>
      </c>
    </row>
    <row r="178" customFormat="false" ht="35.05" hidden="false" customHeight="false" outlineLevel="0" collapsed="false">
      <c r="A178" s="12" t="s">
        <v>493</v>
      </c>
      <c r="B178" s="13" t="s">
        <v>494</v>
      </c>
      <c r="C178" s="14" t="n">
        <v>89.85</v>
      </c>
      <c r="D178" s="15" t="s">
        <v>12</v>
      </c>
      <c r="E178" s="13" t="s">
        <v>173</v>
      </c>
      <c r="F178" s="13" t="s">
        <v>174</v>
      </c>
      <c r="G178" s="13" t="s">
        <v>495</v>
      </c>
      <c r="H178" s="16" t="s">
        <v>63</v>
      </c>
      <c r="I178" s="15" t="n">
        <v>2</v>
      </c>
      <c r="J178" s="15" t="n">
        <v>3</v>
      </c>
      <c r="K178" s="15" t="n">
        <f aca="false">IF(C178&gt;=50,1,0)</f>
        <v>1</v>
      </c>
      <c r="L178" s="17" t="n">
        <f aca="false">IF(H178="0 (checked)",2,IF(H178="Unverified",1,IF(H178="1 (checked)",0.5,0)))</f>
        <v>1</v>
      </c>
      <c r="M178" s="17" t="n">
        <f aca="false">I178+J178+K178+L178</f>
        <v>7</v>
      </c>
      <c r="N178" s="15" t="str">
        <f aca="false">IF(C178&lt;25,"Nano (&lt;$25M)",IF(C178&lt;100,"$25-100M",IF(C178&lt;250,"$100-250M","$250-500M")))</f>
        <v>$25-100M</v>
      </c>
    </row>
    <row r="179" customFormat="false" ht="23.85" hidden="false" customHeight="false" outlineLevel="0" collapsed="false">
      <c r="A179" s="12" t="s">
        <v>496</v>
      </c>
      <c r="B179" s="13" t="s">
        <v>497</v>
      </c>
      <c r="C179" s="14" t="n">
        <v>89.82</v>
      </c>
      <c r="D179" s="15" t="s">
        <v>27</v>
      </c>
      <c r="E179" s="13" t="s">
        <v>203</v>
      </c>
      <c r="F179" s="13" t="s">
        <v>204</v>
      </c>
      <c r="G179" s="13" t="s">
        <v>498</v>
      </c>
      <c r="H179" s="16" t="s">
        <v>63</v>
      </c>
      <c r="I179" s="15" t="n">
        <v>2</v>
      </c>
      <c r="J179" s="15" t="n">
        <v>3</v>
      </c>
      <c r="K179" s="15" t="n">
        <f aca="false">IF(C179&gt;=50,1,0)</f>
        <v>1</v>
      </c>
      <c r="L179" s="17" t="n">
        <f aca="false">IF(H179="0 (checked)",2,IF(H179="Unverified",1,IF(H179="1 (checked)",0.5,0)))</f>
        <v>1</v>
      </c>
      <c r="M179" s="17" t="n">
        <f aca="false">I179+J179+K179+L179</f>
        <v>7</v>
      </c>
      <c r="N179" s="15" t="str">
        <f aca="false">IF(C179&lt;25,"Nano (&lt;$25M)",IF(C179&lt;100,"$25-100M",IF(C179&lt;250,"$100-250M","$250-500M")))</f>
        <v>$25-100M</v>
      </c>
    </row>
    <row r="180" customFormat="false" ht="35.05" hidden="false" customHeight="false" outlineLevel="0" collapsed="false">
      <c r="A180" s="12" t="s">
        <v>499</v>
      </c>
      <c r="B180" s="13" t="s">
        <v>500</v>
      </c>
      <c r="C180" s="14" t="n">
        <v>84.05</v>
      </c>
      <c r="D180" s="15" t="s">
        <v>12</v>
      </c>
      <c r="E180" s="13" t="s">
        <v>173</v>
      </c>
      <c r="F180" s="13" t="s">
        <v>174</v>
      </c>
      <c r="G180" s="13"/>
      <c r="H180" s="16" t="s">
        <v>63</v>
      </c>
      <c r="I180" s="15" t="n">
        <v>2</v>
      </c>
      <c r="J180" s="15" t="n">
        <v>3</v>
      </c>
      <c r="K180" s="15" t="n">
        <f aca="false">IF(C180&gt;=50,1,0)</f>
        <v>1</v>
      </c>
      <c r="L180" s="17" t="n">
        <f aca="false">IF(H180="0 (checked)",2,IF(H180="Unverified",1,IF(H180="1 (checked)",0.5,0)))</f>
        <v>1</v>
      </c>
      <c r="M180" s="17" t="n">
        <f aca="false">I180+J180+K180+L180</f>
        <v>7</v>
      </c>
      <c r="N180" s="15" t="str">
        <f aca="false">IF(C180&lt;25,"Nano (&lt;$25M)",IF(C180&lt;100,"$25-100M",IF(C180&lt;250,"$100-250M","$250-500M")))</f>
        <v>$25-100M</v>
      </c>
    </row>
    <row r="181" customFormat="false" ht="35.05" hidden="false" customHeight="false" outlineLevel="0" collapsed="false">
      <c r="A181" s="12" t="s">
        <v>501</v>
      </c>
      <c r="B181" s="13" t="s">
        <v>502</v>
      </c>
      <c r="C181" s="14" t="n">
        <v>82.66</v>
      </c>
      <c r="D181" s="15" t="s">
        <v>12</v>
      </c>
      <c r="E181" s="13" t="s">
        <v>173</v>
      </c>
      <c r="F181" s="13" t="s">
        <v>174</v>
      </c>
      <c r="G181" s="13"/>
      <c r="H181" s="16" t="s">
        <v>63</v>
      </c>
      <c r="I181" s="15" t="n">
        <v>2</v>
      </c>
      <c r="J181" s="15" t="n">
        <v>3</v>
      </c>
      <c r="K181" s="15" t="n">
        <f aca="false">IF(C181&gt;=50,1,0)</f>
        <v>1</v>
      </c>
      <c r="L181" s="17" t="n">
        <f aca="false">IF(H181="0 (checked)",2,IF(H181="Unverified",1,IF(H181="1 (checked)",0.5,0)))</f>
        <v>1</v>
      </c>
      <c r="M181" s="17" t="n">
        <f aca="false">I181+J181+K181+L181</f>
        <v>7</v>
      </c>
      <c r="N181" s="15" t="str">
        <f aca="false">IF(C181&lt;25,"Nano (&lt;$25M)",IF(C181&lt;100,"$25-100M",IF(C181&lt;250,"$100-250M","$250-500M")))</f>
        <v>$25-100M</v>
      </c>
    </row>
    <row r="182" customFormat="false" ht="35.05" hidden="false" customHeight="false" outlineLevel="0" collapsed="false">
      <c r="A182" s="12" t="s">
        <v>503</v>
      </c>
      <c r="B182" s="13" t="s">
        <v>504</v>
      </c>
      <c r="C182" s="14" t="n">
        <v>81.92</v>
      </c>
      <c r="D182" s="15" t="s">
        <v>12</v>
      </c>
      <c r="E182" s="13" t="s">
        <v>173</v>
      </c>
      <c r="F182" s="13" t="s">
        <v>174</v>
      </c>
      <c r="G182" s="13"/>
      <c r="H182" s="16" t="s">
        <v>63</v>
      </c>
      <c r="I182" s="15" t="n">
        <v>2</v>
      </c>
      <c r="J182" s="15" t="n">
        <v>3</v>
      </c>
      <c r="K182" s="15" t="n">
        <f aca="false">IF(C182&gt;=50,1,0)</f>
        <v>1</v>
      </c>
      <c r="L182" s="17" t="n">
        <f aca="false">IF(H182="0 (checked)",2,IF(H182="Unverified",1,IF(H182="1 (checked)",0.5,0)))</f>
        <v>1</v>
      </c>
      <c r="M182" s="17" t="n">
        <f aca="false">I182+J182+K182+L182</f>
        <v>7</v>
      </c>
      <c r="N182" s="15" t="str">
        <f aca="false">IF(C182&lt;25,"Nano (&lt;$25M)",IF(C182&lt;100,"$25-100M",IF(C182&lt;250,"$100-250M","$250-500M")))</f>
        <v>$25-100M</v>
      </c>
    </row>
    <row r="183" customFormat="false" ht="23.85" hidden="false" customHeight="false" outlineLevel="0" collapsed="false">
      <c r="A183" s="12" t="s">
        <v>505</v>
      </c>
      <c r="B183" s="13" t="s">
        <v>506</v>
      </c>
      <c r="C183" s="14" t="n">
        <v>79.62</v>
      </c>
      <c r="D183" s="15" t="s">
        <v>16</v>
      </c>
      <c r="E183" s="13" t="s">
        <v>246</v>
      </c>
      <c r="F183" s="13" t="s">
        <v>247</v>
      </c>
      <c r="G183" s="13" t="s">
        <v>507</v>
      </c>
      <c r="H183" s="16" t="s">
        <v>51</v>
      </c>
      <c r="I183" s="15" t="n">
        <v>2</v>
      </c>
      <c r="J183" s="15" t="n">
        <v>2</v>
      </c>
      <c r="K183" s="15" t="n">
        <f aca="false">IF(C183&gt;=50,1,0)</f>
        <v>1</v>
      </c>
      <c r="L183" s="17" t="n">
        <f aca="false">IF(H183="0 (checked)",2,IF(H183="Unverified",1,IF(H183="1 (checked)",0.5,0)))</f>
        <v>2</v>
      </c>
      <c r="M183" s="17" t="n">
        <f aca="false">I183+J183+K183+L183</f>
        <v>7</v>
      </c>
      <c r="N183" s="15" t="str">
        <f aca="false">IF(C183&lt;25,"Nano (&lt;$25M)",IF(C183&lt;100,"$25-100M",IF(C183&lt;250,"$100-250M","$250-500M")))</f>
        <v>$25-100M</v>
      </c>
    </row>
    <row r="184" customFormat="false" ht="35.05" hidden="false" customHeight="false" outlineLevel="0" collapsed="false">
      <c r="A184" s="12" t="s">
        <v>508</v>
      </c>
      <c r="B184" s="13" t="s">
        <v>509</v>
      </c>
      <c r="C184" s="14" t="n">
        <v>76.8</v>
      </c>
      <c r="D184" s="15" t="s">
        <v>22</v>
      </c>
      <c r="E184" s="13" t="s">
        <v>267</v>
      </c>
      <c r="F184" s="13" t="s">
        <v>268</v>
      </c>
      <c r="G184" s="13"/>
      <c r="H184" s="16" t="s">
        <v>63</v>
      </c>
      <c r="I184" s="15" t="n">
        <v>2</v>
      </c>
      <c r="J184" s="15" t="n">
        <v>3</v>
      </c>
      <c r="K184" s="15" t="n">
        <f aca="false">IF(C184&gt;=50,1,0)</f>
        <v>1</v>
      </c>
      <c r="L184" s="17" t="n">
        <f aca="false">IF(H184="0 (checked)",2,IF(H184="Unverified",1,IF(H184="1 (checked)",0.5,0)))</f>
        <v>1</v>
      </c>
      <c r="M184" s="17" t="n">
        <f aca="false">I184+J184+K184+L184</f>
        <v>7</v>
      </c>
      <c r="N184" s="15" t="str">
        <f aca="false">IF(C184&lt;25,"Nano (&lt;$25M)",IF(C184&lt;100,"$25-100M",IF(C184&lt;250,"$100-250M","$250-500M")))</f>
        <v>$25-100M</v>
      </c>
    </row>
    <row r="185" customFormat="false" ht="35.05" hidden="false" customHeight="false" outlineLevel="0" collapsed="false">
      <c r="A185" s="12" t="s">
        <v>510</v>
      </c>
      <c r="B185" s="13" t="s">
        <v>511</v>
      </c>
      <c r="C185" s="14" t="n">
        <v>75.03</v>
      </c>
      <c r="D185" s="15" t="s">
        <v>12</v>
      </c>
      <c r="E185" s="13" t="s">
        <v>173</v>
      </c>
      <c r="F185" s="13" t="s">
        <v>174</v>
      </c>
      <c r="G185" s="13"/>
      <c r="H185" s="16" t="s">
        <v>63</v>
      </c>
      <c r="I185" s="15" t="n">
        <v>2</v>
      </c>
      <c r="J185" s="15" t="n">
        <v>3</v>
      </c>
      <c r="K185" s="15" t="n">
        <f aca="false">IF(C185&gt;=50,1,0)</f>
        <v>1</v>
      </c>
      <c r="L185" s="17" t="n">
        <f aca="false">IF(H185="0 (checked)",2,IF(H185="Unverified",1,IF(H185="1 (checked)",0.5,0)))</f>
        <v>1</v>
      </c>
      <c r="M185" s="17" t="n">
        <f aca="false">I185+J185+K185+L185</f>
        <v>7</v>
      </c>
      <c r="N185" s="15" t="str">
        <f aca="false">IF(C185&lt;25,"Nano (&lt;$25M)",IF(C185&lt;100,"$25-100M",IF(C185&lt;250,"$100-250M","$250-500M")))</f>
        <v>$25-100M</v>
      </c>
    </row>
    <row r="186" customFormat="false" ht="35.05" hidden="false" customHeight="false" outlineLevel="0" collapsed="false">
      <c r="A186" s="12" t="s">
        <v>512</v>
      </c>
      <c r="B186" s="13" t="s">
        <v>513</v>
      </c>
      <c r="C186" s="14" t="n">
        <v>73.44</v>
      </c>
      <c r="D186" s="15" t="s">
        <v>12</v>
      </c>
      <c r="E186" s="13" t="s">
        <v>173</v>
      </c>
      <c r="F186" s="13" t="s">
        <v>174</v>
      </c>
      <c r="G186" s="13"/>
      <c r="H186" s="16" t="s">
        <v>63</v>
      </c>
      <c r="I186" s="15" t="n">
        <v>2</v>
      </c>
      <c r="J186" s="15" t="n">
        <v>3</v>
      </c>
      <c r="K186" s="15" t="n">
        <f aca="false">IF(C186&gt;=50,1,0)</f>
        <v>1</v>
      </c>
      <c r="L186" s="17" t="n">
        <f aca="false">IF(H186="0 (checked)",2,IF(H186="Unverified",1,IF(H186="1 (checked)",0.5,0)))</f>
        <v>1</v>
      </c>
      <c r="M186" s="17" t="n">
        <f aca="false">I186+J186+K186+L186</f>
        <v>7</v>
      </c>
      <c r="N186" s="15" t="str">
        <f aca="false">IF(C186&lt;25,"Nano (&lt;$25M)",IF(C186&lt;100,"$25-100M",IF(C186&lt;250,"$100-250M","$250-500M")))</f>
        <v>$25-100M</v>
      </c>
    </row>
    <row r="187" customFormat="false" ht="35.05" hidden="false" customHeight="false" outlineLevel="0" collapsed="false">
      <c r="A187" s="12" t="s">
        <v>514</v>
      </c>
      <c r="B187" s="13" t="s">
        <v>515</v>
      </c>
      <c r="C187" s="14" t="n">
        <v>72.91</v>
      </c>
      <c r="D187" s="15" t="s">
        <v>12</v>
      </c>
      <c r="E187" s="13" t="s">
        <v>173</v>
      </c>
      <c r="F187" s="13" t="s">
        <v>174</v>
      </c>
      <c r="G187" s="13"/>
      <c r="H187" s="16" t="s">
        <v>63</v>
      </c>
      <c r="I187" s="15" t="n">
        <v>2</v>
      </c>
      <c r="J187" s="15" t="n">
        <v>3</v>
      </c>
      <c r="K187" s="15" t="n">
        <f aca="false">IF(C187&gt;=50,1,0)</f>
        <v>1</v>
      </c>
      <c r="L187" s="17" t="n">
        <f aca="false">IF(H187="0 (checked)",2,IF(H187="Unverified",1,IF(H187="1 (checked)",0.5,0)))</f>
        <v>1</v>
      </c>
      <c r="M187" s="17" t="n">
        <f aca="false">I187+J187+K187+L187</f>
        <v>7</v>
      </c>
      <c r="N187" s="15" t="str">
        <f aca="false">IF(C187&lt;25,"Nano (&lt;$25M)",IF(C187&lt;100,"$25-100M",IF(C187&lt;250,"$100-250M","$250-500M")))</f>
        <v>$25-100M</v>
      </c>
    </row>
    <row r="188" customFormat="false" ht="23.85" hidden="false" customHeight="false" outlineLevel="0" collapsed="false">
      <c r="A188" s="12" t="s">
        <v>516</v>
      </c>
      <c r="B188" s="13" t="s">
        <v>517</v>
      </c>
      <c r="C188" s="14" t="n">
        <v>70.97</v>
      </c>
      <c r="D188" s="15" t="s">
        <v>24</v>
      </c>
      <c r="E188" s="13" t="s">
        <v>225</v>
      </c>
      <c r="F188" s="13" t="s">
        <v>226</v>
      </c>
      <c r="G188" s="13" t="s">
        <v>518</v>
      </c>
      <c r="H188" s="16" t="s">
        <v>63</v>
      </c>
      <c r="I188" s="15" t="n">
        <v>3</v>
      </c>
      <c r="J188" s="15" t="n">
        <v>2</v>
      </c>
      <c r="K188" s="15" t="n">
        <f aca="false">IF(C188&gt;=50,1,0)</f>
        <v>1</v>
      </c>
      <c r="L188" s="17" t="n">
        <f aca="false">IF(H188="0 (checked)",2,IF(H188="Unverified",1,IF(H188="1 (checked)",0.5,0)))</f>
        <v>1</v>
      </c>
      <c r="M188" s="17" t="n">
        <f aca="false">I188+J188+K188+L188</f>
        <v>7</v>
      </c>
      <c r="N188" s="15" t="str">
        <f aca="false">IF(C188&lt;25,"Nano (&lt;$25M)",IF(C188&lt;100,"$25-100M",IF(C188&lt;250,"$100-250M","$250-500M")))</f>
        <v>$25-100M</v>
      </c>
    </row>
    <row r="189" customFormat="false" ht="35.05" hidden="false" customHeight="false" outlineLevel="0" collapsed="false">
      <c r="A189" s="12" t="s">
        <v>519</v>
      </c>
      <c r="B189" s="13" t="s">
        <v>520</v>
      </c>
      <c r="C189" s="14" t="n">
        <v>69.44</v>
      </c>
      <c r="D189" s="15" t="s">
        <v>12</v>
      </c>
      <c r="E189" s="13" t="s">
        <v>173</v>
      </c>
      <c r="F189" s="13" t="s">
        <v>174</v>
      </c>
      <c r="G189" s="13"/>
      <c r="H189" s="16" t="s">
        <v>63</v>
      </c>
      <c r="I189" s="15" t="n">
        <v>2</v>
      </c>
      <c r="J189" s="15" t="n">
        <v>3</v>
      </c>
      <c r="K189" s="15" t="n">
        <f aca="false">IF(C189&gt;=50,1,0)</f>
        <v>1</v>
      </c>
      <c r="L189" s="17" t="n">
        <f aca="false">IF(H189="0 (checked)",2,IF(H189="Unverified",1,IF(H189="1 (checked)",0.5,0)))</f>
        <v>1</v>
      </c>
      <c r="M189" s="17" t="n">
        <f aca="false">I189+J189+K189+L189</f>
        <v>7</v>
      </c>
      <c r="N189" s="15" t="str">
        <f aca="false">IF(C189&lt;25,"Nano (&lt;$25M)",IF(C189&lt;100,"$25-100M",IF(C189&lt;250,"$100-250M","$250-500M")))</f>
        <v>$25-100M</v>
      </c>
    </row>
    <row r="190" customFormat="false" ht="23.85" hidden="false" customHeight="false" outlineLevel="0" collapsed="false">
      <c r="A190" s="12" t="s">
        <v>521</v>
      </c>
      <c r="B190" s="13" t="s">
        <v>522</v>
      </c>
      <c r="C190" s="14" t="n">
        <v>66.13</v>
      </c>
      <c r="D190" s="15" t="s">
        <v>24</v>
      </c>
      <c r="E190" s="13" t="s">
        <v>225</v>
      </c>
      <c r="F190" s="13" t="s">
        <v>226</v>
      </c>
      <c r="G190" s="13" t="s">
        <v>523</v>
      </c>
      <c r="H190" s="16" t="s">
        <v>63</v>
      </c>
      <c r="I190" s="15" t="n">
        <v>3</v>
      </c>
      <c r="J190" s="15" t="n">
        <v>2</v>
      </c>
      <c r="K190" s="15" t="n">
        <f aca="false">IF(C190&gt;=50,1,0)</f>
        <v>1</v>
      </c>
      <c r="L190" s="17" t="n">
        <f aca="false">IF(H190="0 (checked)",2,IF(H190="Unverified",1,IF(H190="1 (checked)",0.5,0)))</f>
        <v>1</v>
      </c>
      <c r="M190" s="17" t="n">
        <f aca="false">I190+J190+K190+L190</f>
        <v>7</v>
      </c>
      <c r="N190" s="15" t="str">
        <f aca="false">IF(C190&lt;25,"Nano (&lt;$25M)",IF(C190&lt;100,"$25-100M",IF(C190&lt;250,"$100-250M","$250-500M")))</f>
        <v>$25-100M</v>
      </c>
    </row>
    <row r="191" customFormat="false" ht="35.05" hidden="false" customHeight="false" outlineLevel="0" collapsed="false">
      <c r="A191" s="12" t="s">
        <v>524</v>
      </c>
      <c r="B191" s="13" t="s">
        <v>525</v>
      </c>
      <c r="C191" s="14" t="n">
        <v>59.86</v>
      </c>
      <c r="D191" s="15" t="s">
        <v>22</v>
      </c>
      <c r="E191" s="13" t="s">
        <v>267</v>
      </c>
      <c r="F191" s="13" t="s">
        <v>268</v>
      </c>
      <c r="G191" s="13"/>
      <c r="H191" s="16" t="s">
        <v>63</v>
      </c>
      <c r="I191" s="15" t="n">
        <v>2</v>
      </c>
      <c r="J191" s="15" t="n">
        <v>3</v>
      </c>
      <c r="K191" s="15" t="n">
        <f aca="false">IF(C191&gt;=50,1,0)</f>
        <v>1</v>
      </c>
      <c r="L191" s="17" t="n">
        <f aca="false">IF(H191="0 (checked)",2,IF(H191="Unverified",1,IF(H191="1 (checked)",0.5,0)))</f>
        <v>1</v>
      </c>
      <c r="M191" s="17" t="n">
        <f aca="false">I191+J191+K191+L191</f>
        <v>7</v>
      </c>
      <c r="N191" s="15" t="str">
        <f aca="false">IF(C191&lt;25,"Nano (&lt;$25M)",IF(C191&lt;100,"$25-100M",IF(C191&lt;250,"$100-250M","$250-500M")))</f>
        <v>$25-100M</v>
      </c>
    </row>
    <row r="192" customFormat="false" ht="35.05" hidden="false" customHeight="false" outlineLevel="0" collapsed="false">
      <c r="A192" s="12" t="s">
        <v>526</v>
      </c>
      <c r="B192" s="13" t="s">
        <v>527</v>
      </c>
      <c r="C192" s="14" t="n">
        <v>59.24</v>
      </c>
      <c r="D192" s="15" t="s">
        <v>22</v>
      </c>
      <c r="E192" s="13" t="s">
        <v>267</v>
      </c>
      <c r="F192" s="13" t="s">
        <v>268</v>
      </c>
      <c r="G192" s="13"/>
      <c r="H192" s="16" t="s">
        <v>63</v>
      </c>
      <c r="I192" s="15" t="n">
        <v>2</v>
      </c>
      <c r="J192" s="15" t="n">
        <v>3</v>
      </c>
      <c r="K192" s="15" t="n">
        <f aca="false">IF(C192&gt;=50,1,0)</f>
        <v>1</v>
      </c>
      <c r="L192" s="17" t="n">
        <f aca="false">IF(H192="0 (checked)",2,IF(H192="Unverified",1,IF(H192="1 (checked)",0.5,0)))</f>
        <v>1</v>
      </c>
      <c r="M192" s="17" t="n">
        <f aca="false">I192+J192+K192+L192</f>
        <v>7</v>
      </c>
      <c r="N192" s="15" t="str">
        <f aca="false">IF(C192&lt;25,"Nano (&lt;$25M)",IF(C192&lt;100,"$25-100M",IF(C192&lt;250,"$100-250M","$250-500M")))</f>
        <v>$25-100M</v>
      </c>
    </row>
    <row r="193" customFormat="false" ht="35.05" hidden="false" customHeight="false" outlineLevel="0" collapsed="false">
      <c r="A193" s="12" t="s">
        <v>528</v>
      </c>
      <c r="B193" s="13" t="s">
        <v>529</v>
      </c>
      <c r="C193" s="14" t="n">
        <v>57.55</v>
      </c>
      <c r="D193" s="15" t="s">
        <v>22</v>
      </c>
      <c r="E193" s="13" t="s">
        <v>267</v>
      </c>
      <c r="F193" s="13" t="s">
        <v>268</v>
      </c>
      <c r="G193" s="13"/>
      <c r="H193" s="16" t="s">
        <v>63</v>
      </c>
      <c r="I193" s="15" t="n">
        <v>2</v>
      </c>
      <c r="J193" s="15" t="n">
        <v>3</v>
      </c>
      <c r="K193" s="15" t="n">
        <f aca="false">IF(C193&gt;=50,1,0)</f>
        <v>1</v>
      </c>
      <c r="L193" s="17" t="n">
        <f aca="false">IF(H193="0 (checked)",2,IF(H193="Unverified",1,IF(H193="1 (checked)",0.5,0)))</f>
        <v>1</v>
      </c>
      <c r="M193" s="17" t="n">
        <f aca="false">I193+J193+K193+L193</f>
        <v>7</v>
      </c>
      <c r="N193" s="15" t="str">
        <f aca="false">IF(C193&lt;25,"Nano (&lt;$25M)",IF(C193&lt;100,"$25-100M",IF(C193&lt;250,"$100-250M","$250-500M")))</f>
        <v>$25-100M</v>
      </c>
    </row>
    <row r="194" customFormat="false" ht="23.85" hidden="false" customHeight="false" outlineLevel="0" collapsed="false">
      <c r="A194" s="12" t="s">
        <v>530</v>
      </c>
      <c r="B194" s="13" t="s">
        <v>531</v>
      </c>
      <c r="C194" s="14" t="n">
        <v>44.95</v>
      </c>
      <c r="D194" s="15" t="s">
        <v>25</v>
      </c>
      <c r="E194" s="13" t="s">
        <v>75</v>
      </c>
      <c r="F194" s="13" t="s">
        <v>76</v>
      </c>
      <c r="G194" s="13" t="s">
        <v>532</v>
      </c>
      <c r="H194" s="16" t="s">
        <v>63</v>
      </c>
      <c r="I194" s="15" t="n">
        <v>3</v>
      </c>
      <c r="J194" s="15" t="n">
        <v>3</v>
      </c>
      <c r="K194" s="15" t="n">
        <f aca="false">IF(C194&gt;=50,1,0)</f>
        <v>0</v>
      </c>
      <c r="L194" s="17" t="n">
        <f aca="false">IF(H194="0 (checked)",2,IF(H194="Unverified",1,IF(H194="1 (checked)",0.5,0)))</f>
        <v>1</v>
      </c>
      <c r="M194" s="17" t="n">
        <f aca="false">I194+J194+K194+L194</f>
        <v>7</v>
      </c>
      <c r="N194" s="15" t="str">
        <f aca="false">IF(C194&lt;25,"Nano (&lt;$25M)",IF(C194&lt;100,"$25-100M",IF(C194&lt;250,"$100-250M","$250-500M")))</f>
        <v>$25-100M</v>
      </c>
    </row>
    <row r="195" customFormat="false" ht="23.85" hidden="false" customHeight="false" outlineLevel="0" collapsed="false">
      <c r="A195" s="12" t="s">
        <v>533</v>
      </c>
      <c r="B195" s="13" t="s">
        <v>534</v>
      </c>
      <c r="C195" s="14" t="n">
        <v>40.28</v>
      </c>
      <c r="D195" s="15" t="s">
        <v>25</v>
      </c>
      <c r="E195" s="13" t="s">
        <v>75</v>
      </c>
      <c r="F195" s="13" t="s">
        <v>76</v>
      </c>
      <c r="G195" s="13" t="s">
        <v>535</v>
      </c>
      <c r="H195" s="16" t="s">
        <v>63</v>
      </c>
      <c r="I195" s="15" t="n">
        <v>3</v>
      </c>
      <c r="J195" s="15" t="n">
        <v>3</v>
      </c>
      <c r="K195" s="15" t="n">
        <f aca="false">IF(C195&gt;=50,1,0)</f>
        <v>0</v>
      </c>
      <c r="L195" s="17" t="n">
        <f aca="false">IF(H195="0 (checked)",2,IF(H195="Unverified",1,IF(H195="1 (checked)",0.5,0)))</f>
        <v>1</v>
      </c>
      <c r="M195" s="17" t="n">
        <f aca="false">I195+J195+K195+L195</f>
        <v>7</v>
      </c>
      <c r="N195" s="15" t="str">
        <f aca="false">IF(C195&lt;25,"Nano (&lt;$25M)",IF(C195&lt;100,"$25-100M",IF(C195&lt;250,"$100-250M","$250-500M")))</f>
        <v>$25-100M</v>
      </c>
    </row>
    <row r="196" customFormat="false" ht="23.85" hidden="false" customHeight="false" outlineLevel="0" collapsed="false">
      <c r="A196" s="12" t="s">
        <v>536</v>
      </c>
      <c r="B196" s="13" t="s">
        <v>537</v>
      </c>
      <c r="C196" s="14" t="n">
        <v>29.26</v>
      </c>
      <c r="D196" s="15" t="s">
        <v>21</v>
      </c>
      <c r="E196" s="13" t="s">
        <v>57</v>
      </c>
      <c r="F196" s="13" t="s">
        <v>58</v>
      </c>
      <c r="G196" s="13" t="s">
        <v>538</v>
      </c>
      <c r="H196" s="16" t="s">
        <v>63</v>
      </c>
      <c r="I196" s="15" t="n">
        <v>3</v>
      </c>
      <c r="J196" s="15" t="n">
        <v>3</v>
      </c>
      <c r="K196" s="15" t="n">
        <f aca="false">IF(C196&gt;=50,1,0)</f>
        <v>0</v>
      </c>
      <c r="L196" s="17" t="n">
        <f aca="false">IF(H196="0 (checked)",2,IF(H196="Unverified",1,IF(H196="1 (checked)",0.5,0)))</f>
        <v>1</v>
      </c>
      <c r="M196" s="17" t="n">
        <f aca="false">I196+J196+K196+L196</f>
        <v>7</v>
      </c>
      <c r="N196" s="15" t="str">
        <f aca="false">IF(C196&lt;25,"Nano (&lt;$25M)",IF(C196&lt;100,"$25-100M",IF(C196&lt;250,"$100-250M","$250-500M")))</f>
        <v>$25-100M</v>
      </c>
    </row>
    <row r="197" customFormat="false" ht="35.05" hidden="false" customHeight="false" outlineLevel="0" collapsed="false">
      <c r="A197" s="12" t="s">
        <v>539</v>
      </c>
      <c r="B197" s="13" t="s">
        <v>540</v>
      </c>
      <c r="C197" s="14" t="n">
        <v>21.56</v>
      </c>
      <c r="D197" s="15" t="s">
        <v>22</v>
      </c>
      <c r="E197" s="13" t="s">
        <v>267</v>
      </c>
      <c r="F197" s="13" t="s">
        <v>268</v>
      </c>
      <c r="G197" s="13" t="s">
        <v>541</v>
      </c>
      <c r="H197" s="16" t="s">
        <v>51</v>
      </c>
      <c r="I197" s="15" t="n">
        <v>2</v>
      </c>
      <c r="J197" s="15" t="n">
        <v>3</v>
      </c>
      <c r="K197" s="15" t="n">
        <f aca="false">IF(C197&gt;=50,1,0)</f>
        <v>0</v>
      </c>
      <c r="L197" s="17" t="n">
        <f aca="false">IF(H197="0 (checked)",2,IF(H197="Unverified",1,IF(H197="1 (checked)",0.5,0)))</f>
        <v>2</v>
      </c>
      <c r="M197" s="17" t="n">
        <f aca="false">I197+J197+K197+L197</f>
        <v>7</v>
      </c>
      <c r="N197" s="15" t="str">
        <f aca="false">IF(C197&lt;25,"Nano (&lt;$25M)",IF(C197&lt;100,"$25-100M",IF(C197&lt;250,"$100-250M","$250-500M")))</f>
        <v>Nano (&lt;$25M)</v>
      </c>
    </row>
    <row r="198" customFormat="false" ht="23.85" hidden="false" customHeight="false" outlineLevel="0" collapsed="false">
      <c r="A198" s="12" t="s">
        <v>542</v>
      </c>
      <c r="B198" s="13" t="s">
        <v>543</v>
      </c>
      <c r="C198" s="14" t="n">
        <v>9.71</v>
      </c>
      <c r="D198" s="15" t="s">
        <v>26</v>
      </c>
      <c r="E198" s="13" t="s">
        <v>327</v>
      </c>
      <c r="F198" s="13" t="s">
        <v>328</v>
      </c>
      <c r="G198" s="13" t="s">
        <v>544</v>
      </c>
      <c r="H198" s="16" t="s">
        <v>51</v>
      </c>
      <c r="I198" s="15" t="n">
        <v>3</v>
      </c>
      <c r="J198" s="15" t="n">
        <v>2</v>
      </c>
      <c r="K198" s="15" t="n">
        <f aca="false">IF(C198&gt;=50,1,0)</f>
        <v>0</v>
      </c>
      <c r="L198" s="17" t="n">
        <f aca="false">IF(H198="0 (checked)",2,IF(H198="Unverified",1,IF(H198="1 (checked)",0.5,0)))</f>
        <v>2</v>
      </c>
      <c r="M198" s="17" t="n">
        <f aca="false">I198+J198+K198+L198</f>
        <v>7</v>
      </c>
      <c r="N198" s="15" t="str">
        <f aca="false">IF(C198&lt;25,"Nano (&lt;$25M)",IF(C198&lt;100,"$25-100M",IF(C198&lt;250,"$100-250M","$250-500M")))</f>
        <v>Nano (&lt;$25M)</v>
      </c>
    </row>
    <row r="199" customFormat="false" ht="23.85" hidden="false" customHeight="false" outlineLevel="0" collapsed="false">
      <c r="A199" s="12" t="s">
        <v>545</v>
      </c>
      <c r="B199" s="13" t="s">
        <v>546</v>
      </c>
      <c r="C199" s="14" t="n">
        <v>8.31</v>
      </c>
      <c r="D199" s="15" t="s">
        <v>29</v>
      </c>
      <c r="E199" s="13" t="s">
        <v>84</v>
      </c>
      <c r="F199" s="13" t="s">
        <v>85</v>
      </c>
      <c r="G199" s="13"/>
      <c r="H199" s="16" t="s">
        <v>63</v>
      </c>
      <c r="I199" s="15" t="n">
        <v>3</v>
      </c>
      <c r="J199" s="15" t="n">
        <v>3</v>
      </c>
      <c r="K199" s="15" t="n">
        <f aca="false">IF(C199&gt;=50,1,0)</f>
        <v>0</v>
      </c>
      <c r="L199" s="17" t="n">
        <f aca="false">IF(H199="0 (checked)",2,IF(H199="Unverified",1,IF(H199="1 (checked)",0.5,0)))</f>
        <v>1</v>
      </c>
      <c r="M199" s="17" t="n">
        <f aca="false">I199+J199+K199+L199</f>
        <v>7</v>
      </c>
      <c r="N199" s="15" t="str">
        <f aca="false">IF(C199&lt;25,"Nano (&lt;$25M)",IF(C199&lt;100,"$25-100M",IF(C199&lt;250,"$100-250M","$250-500M")))</f>
        <v>Nano (&lt;$25M)</v>
      </c>
    </row>
    <row r="200" customFormat="false" ht="23.85" hidden="false" customHeight="false" outlineLevel="0" collapsed="false">
      <c r="A200" s="12" t="s">
        <v>547</v>
      </c>
      <c r="B200" s="13" t="s">
        <v>548</v>
      </c>
      <c r="C200" s="14" t="n">
        <v>345.75</v>
      </c>
      <c r="D200" s="15" t="s">
        <v>13</v>
      </c>
      <c r="E200" s="13" t="s">
        <v>108</v>
      </c>
      <c r="F200" s="13" t="s">
        <v>109</v>
      </c>
      <c r="G200" s="13" t="s">
        <v>549</v>
      </c>
      <c r="H200" s="16" t="s">
        <v>170</v>
      </c>
      <c r="I200" s="15" t="n">
        <v>3</v>
      </c>
      <c r="J200" s="15" t="n">
        <v>2</v>
      </c>
      <c r="K200" s="15" t="n">
        <f aca="false">IF(C200&gt;=50,1,0)</f>
        <v>1</v>
      </c>
      <c r="L200" s="17" t="n">
        <f aca="false">IF(H200="0 (checked)",2,IF(H200="Unverified",1,IF(H200="1 (checked)",0.5,0)))</f>
        <v>0.5</v>
      </c>
      <c r="M200" s="17" t="n">
        <f aca="false">I200+J200+K200+L200</f>
        <v>6.5</v>
      </c>
      <c r="N200" s="15" t="str">
        <f aca="false">IF(C200&lt;25,"Nano (&lt;$25M)",IF(C200&lt;100,"$25-100M",IF(C200&lt;250,"$100-250M","$250-500M")))</f>
        <v>$250-500M</v>
      </c>
    </row>
    <row r="201" customFormat="false" ht="23.85" hidden="false" customHeight="false" outlineLevel="0" collapsed="false">
      <c r="A201" s="12" t="s">
        <v>550</v>
      </c>
      <c r="B201" s="13" t="s">
        <v>551</v>
      </c>
      <c r="C201" s="14" t="n">
        <v>227.88</v>
      </c>
      <c r="D201" s="15" t="s">
        <v>13</v>
      </c>
      <c r="E201" s="13" t="s">
        <v>108</v>
      </c>
      <c r="F201" s="13" t="s">
        <v>109</v>
      </c>
      <c r="G201" s="13" t="s">
        <v>552</v>
      </c>
      <c r="H201" s="16" t="s">
        <v>170</v>
      </c>
      <c r="I201" s="15" t="n">
        <v>3</v>
      </c>
      <c r="J201" s="15" t="n">
        <v>2</v>
      </c>
      <c r="K201" s="15" t="n">
        <f aca="false">IF(C201&gt;=50,1,0)</f>
        <v>1</v>
      </c>
      <c r="L201" s="17" t="n">
        <f aca="false">IF(H201="0 (checked)",2,IF(H201="Unverified",1,IF(H201="1 (checked)",0.5,0)))</f>
        <v>0.5</v>
      </c>
      <c r="M201" s="17" t="n">
        <f aca="false">I201+J201+K201+L201</f>
        <v>6.5</v>
      </c>
      <c r="N201" s="15" t="str">
        <f aca="false">IF(C201&lt;25,"Nano (&lt;$25M)",IF(C201&lt;100,"$25-100M",IF(C201&lt;250,"$100-250M","$250-500M")))</f>
        <v>$100-250M</v>
      </c>
    </row>
    <row r="202" customFormat="false" ht="23.85" hidden="false" customHeight="false" outlineLevel="0" collapsed="false">
      <c r="A202" s="12" t="s">
        <v>553</v>
      </c>
      <c r="B202" s="13" t="s">
        <v>554</v>
      </c>
      <c r="C202" s="14" t="n">
        <v>491.06</v>
      </c>
      <c r="D202" s="15" t="s">
        <v>16</v>
      </c>
      <c r="E202" s="13" t="s">
        <v>246</v>
      </c>
      <c r="F202" s="13" t="s">
        <v>247</v>
      </c>
      <c r="G202" s="13"/>
      <c r="H202" s="16" t="s">
        <v>63</v>
      </c>
      <c r="I202" s="15" t="n">
        <v>2</v>
      </c>
      <c r="J202" s="15" t="n">
        <v>2</v>
      </c>
      <c r="K202" s="15" t="n">
        <f aca="false">IF(C202&gt;=50,1,0)</f>
        <v>1</v>
      </c>
      <c r="L202" s="17" t="n">
        <f aca="false">IF(H202="0 (checked)",2,IF(H202="Unverified",1,IF(H202="1 (checked)",0.5,0)))</f>
        <v>1</v>
      </c>
      <c r="M202" s="17" t="n">
        <f aca="false">I202+J202+K202+L202</f>
        <v>6</v>
      </c>
      <c r="N202" s="15" t="str">
        <f aca="false">IF(C202&lt;25,"Nano (&lt;$25M)",IF(C202&lt;100,"$25-100M",IF(C202&lt;250,"$100-250M","$250-500M")))</f>
        <v>$250-500M</v>
      </c>
    </row>
    <row r="203" customFormat="false" ht="23.85" hidden="false" customHeight="false" outlineLevel="0" collapsed="false">
      <c r="A203" s="12" t="s">
        <v>555</v>
      </c>
      <c r="B203" s="13" t="s">
        <v>556</v>
      </c>
      <c r="C203" s="14" t="n">
        <v>486.76</v>
      </c>
      <c r="D203" s="15" t="s">
        <v>16</v>
      </c>
      <c r="E203" s="13" t="s">
        <v>246</v>
      </c>
      <c r="F203" s="13" t="s">
        <v>247</v>
      </c>
      <c r="G203" s="13" t="s">
        <v>557</v>
      </c>
      <c r="H203" s="16" t="s">
        <v>63</v>
      </c>
      <c r="I203" s="15" t="n">
        <v>2</v>
      </c>
      <c r="J203" s="15" t="n">
        <v>2</v>
      </c>
      <c r="K203" s="15" t="n">
        <f aca="false">IF(C203&gt;=50,1,0)</f>
        <v>1</v>
      </c>
      <c r="L203" s="17" t="n">
        <f aca="false">IF(H203="0 (checked)",2,IF(H203="Unverified",1,IF(H203="1 (checked)",0.5,0)))</f>
        <v>1</v>
      </c>
      <c r="M203" s="17" t="n">
        <f aca="false">I203+J203+K203+L203</f>
        <v>6</v>
      </c>
      <c r="N203" s="15" t="str">
        <f aca="false">IF(C203&lt;25,"Nano (&lt;$25M)",IF(C203&lt;100,"$25-100M",IF(C203&lt;250,"$100-250M","$250-500M")))</f>
        <v>$250-500M</v>
      </c>
    </row>
    <row r="204" customFormat="false" ht="23.85" hidden="false" customHeight="false" outlineLevel="0" collapsed="false">
      <c r="A204" s="12" t="s">
        <v>558</v>
      </c>
      <c r="B204" s="13" t="s">
        <v>559</v>
      </c>
      <c r="C204" s="14" t="n">
        <v>451.92</v>
      </c>
      <c r="D204" s="15" t="s">
        <v>20</v>
      </c>
      <c r="E204" s="13" t="s">
        <v>560</v>
      </c>
      <c r="F204" s="13" t="s">
        <v>561</v>
      </c>
      <c r="G204" s="13"/>
      <c r="H204" s="16" t="s">
        <v>63</v>
      </c>
      <c r="I204" s="15" t="n">
        <v>2</v>
      </c>
      <c r="J204" s="15" t="n">
        <v>2</v>
      </c>
      <c r="K204" s="15" t="n">
        <f aca="false">IF(C204&gt;=50,1,0)</f>
        <v>1</v>
      </c>
      <c r="L204" s="17" t="n">
        <f aca="false">IF(H204="0 (checked)",2,IF(H204="Unverified",1,IF(H204="1 (checked)",0.5,0)))</f>
        <v>1</v>
      </c>
      <c r="M204" s="17" t="n">
        <f aca="false">I204+J204+K204+L204</f>
        <v>6</v>
      </c>
      <c r="N204" s="15" t="str">
        <f aca="false">IF(C204&lt;25,"Nano (&lt;$25M)",IF(C204&lt;100,"$25-100M",IF(C204&lt;250,"$100-250M","$250-500M")))</f>
        <v>$250-500M</v>
      </c>
    </row>
    <row r="205" customFormat="false" ht="23.85" hidden="false" customHeight="false" outlineLevel="0" collapsed="false">
      <c r="A205" s="12" t="s">
        <v>562</v>
      </c>
      <c r="B205" s="13" t="s">
        <v>563</v>
      </c>
      <c r="C205" s="14" t="n">
        <v>450.59</v>
      </c>
      <c r="D205" s="15" t="s">
        <v>23</v>
      </c>
      <c r="E205" s="13" t="s">
        <v>564</v>
      </c>
      <c r="F205" s="13" t="s">
        <v>565</v>
      </c>
      <c r="G205" s="13"/>
      <c r="H205" s="16" t="s">
        <v>63</v>
      </c>
      <c r="I205" s="15" t="n">
        <v>2</v>
      </c>
      <c r="J205" s="15" t="n">
        <v>2</v>
      </c>
      <c r="K205" s="15" t="n">
        <f aca="false">IF(C205&gt;=50,1,0)</f>
        <v>1</v>
      </c>
      <c r="L205" s="17" t="n">
        <f aca="false">IF(H205="0 (checked)",2,IF(H205="Unverified",1,IF(H205="1 (checked)",0.5,0)))</f>
        <v>1</v>
      </c>
      <c r="M205" s="17" t="n">
        <f aca="false">I205+J205+K205+L205</f>
        <v>6</v>
      </c>
      <c r="N205" s="15" t="str">
        <f aca="false">IF(C205&lt;25,"Nano (&lt;$25M)",IF(C205&lt;100,"$25-100M",IF(C205&lt;250,"$100-250M","$250-500M")))</f>
        <v>$250-500M</v>
      </c>
    </row>
    <row r="206" customFormat="false" ht="23.85" hidden="false" customHeight="false" outlineLevel="0" collapsed="false">
      <c r="A206" s="12" t="s">
        <v>566</v>
      </c>
      <c r="B206" s="13" t="s">
        <v>567</v>
      </c>
      <c r="C206" s="14" t="n">
        <v>436.93</v>
      </c>
      <c r="D206" s="15" t="s">
        <v>20</v>
      </c>
      <c r="E206" s="13" t="s">
        <v>560</v>
      </c>
      <c r="F206" s="13" t="s">
        <v>561</v>
      </c>
      <c r="G206" s="13" t="s">
        <v>568</v>
      </c>
      <c r="H206" s="16" t="s">
        <v>63</v>
      </c>
      <c r="I206" s="15" t="n">
        <v>2</v>
      </c>
      <c r="J206" s="15" t="n">
        <v>2</v>
      </c>
      <c r="K206" s="15" t="n">
        <f aca="false">IF(C206&gt;=50,1,0)</f>
        <v>1</v>
      </c>
      <c r="L206" s="17" t="n">
        <f aca="false">IF(H206="0 (checked)",2,IF(H206="Unverified",1,IF(H206="1 (checked)",0.5,0)))</f>
        <v>1</v>
      </c>
      <c r="M206" s="17" t="n">
        <f aca="false">I206+J206+K206+L206</f>
        <v>6</v>
      </c>
      <c r="N206" s="15" t="str">
        <f aca="false">IF(C206&lt;25,"Nano (&lt;$25M)",IF(C206&lt;100,"$25-100M",IF(C206&lt;250,"$100-250M","$250-500M")))</f>
        <v>$250-500M</v>
      </c>
    </row>
    <row r="207" customFormat="false" ht="23.85" hidden="false" customHeight="false" outlineLevel="0" collapsed="false">
      <c r="A207" s="12" t="s">
        <v>569</v>
      </c>
      <c r="B207" s="13" t="s">
        <v>570</v>
      </c>
      <c r="C207" s="14" t="n">
        <v>400.31</v>
      </c>
      <c r="D207" s="15" t="s">
        <v>20</v>
      </c>
      <c r="E207" s="13" t="s">
        <v>560</v>
      </c>
      <c r="F207" s="13" t="s">
        <v>561</v>
      </c>
      <c r="G207" s="13" t="s">
        <v>571</v>
      </c>
      <c r="H207" s="16" t="s">
        <v>63</v>
      </c>
      <c r="I207" s="15" t="n">
        <v>2</v>
      </c>
      <c r="J207" s="15" t="n">
        <v>2</v>
      </c>
      <c r="K207" s="15" t="n">
        <f aca="false">IF(C207&gt;=50,1,0)</f>
        <v>1</v>
      </c>
      <c r="L207" s="17" t="n">
        <f aca="false">IF(H207="0 (checked)",2,IF(H207="Unverified",1,IF(H207="1 (checked)",0.5,0)))</f>
        <v>1</v>
      </c>
      <c r="M207" s="17" t="n">
        <f aca="false">I207+J207+K207+L207</f>
        <v>6</v>
      </c>
      <c r="N207" s="15" t="str">
        <f aca="false">IF(C207&lt;25,"Nano (&lt;$25M)",IF(C207&lt;100,"$25-100M",IF(C207&lt;250,"$100-250M","$250-500M")))</f>
        <v>$250-500M</v>
      </c>
    </row>
    <row r="208" customFormat="false" ht="23.85" hidden="false" customHeight="false" outlineLevel="0" collapsed="false">
      <c r="A208" s="12" t="s">
        <v>572</v>
      </c>
      <c r="B208" s="13" t="s">
        <v>573</v>
      </c>
      <c r="C208" s="14" t="n">
        <v>383.24</v>
      </c>
      <c r="D208" s="15" t="s">
        <v>16</v>
      </c>
      <c r="E208" s="13" t="s">
        <v>246</v>
      </c>
      <c r="F208" s="13" t="s">
        <v>247</v>
      </c>
      <c r="G208" s="13"/>
      <c r="H208" s="16" t="s">
        <v>63</v>
      </c>
      <c r="I208" s="15" t="n">
        <v>2</v>
      </c>
      <c r="J208" s="15" t="n">
        <v>2</v>
      </c>
      <c r="K208" s="15" t="n">
        <f aca="false">IF(C208&gt;=50,1,0)</f>
        <v>1</v>
      </c>
      <c r="L208" s="17" t="n">
        <f aca="false">IF(H208="0 (checked)",2,IF(H208="Unverified",1,IF(H208="1 (checked)",0.5,0)))</f>
        <v>1</v>
      </c>
      <c r="M208" s="17" t="n">
        <f aca="false">I208+J208+K208+L208</f>
        <v>6</v>
      </c>
      <c r="N208" s="15" t="str">
        <f aca="false">IF(C208&lt;25,"Nano (&lt;$25M)",IF(C208&lt;100,"$25-100M",IF(C208&lt;250,"$100-250M","$250-500M")))</f>
        <v>$250-500M</v>
      </c>
    </row>
    <row r="209" customFormat="false" ht="23.85" hidden="false" customHeight="false" outlineLevel="0" collapsed="false">
      <c r="A209" s="12" t="s">
        <v>574</v>
      </c>
      <c r="B209" s="13" t="s">
        <v>575</v>
      </c>
      <c r="C209" s="14" t="n">
        <v>346.65</v>
      </c>
      <c r="D209" s="15" t="s">
        <v>16</v>
      </c>
      <c r="E209" s="13" t="s">
        <v>246</v>
      </c>
      <c r="F209" s="13" t="s">
        <v>247</v>
      </c>
      <c r="G209" s="13"/>
      <c r="H209" s="16" t="s">
        <v>63</v>
      </c>
      <c r="I209" s="15" t="n">
        <v>2</v>
      </c>
      <c r="J209" s="15" t="n">
        <v>2</v>
      </c>
      <c r="K209" s="15" t="n">
        <f aca="false">IF(C209&gt;=50,1,0)</f>
        <v>1</v>
      </c>
      <c r="L209" s="17" t="n">
        <f aca="false">IF(H209="0 (checked)",2,IF(H209="Unverified",1,IF(H209="1 (checked)",0.5,0)))</f>
        <v>1</v>
      </c>
      <c r="M209" s="17" t="n">
        <f aca="false">I209+J209+K209+L209</f>
        <v>6</v>
      </c>
      <c r="N209" s="15" t="str">
        <f aca="false">IF(C209&lt;25,"Nano (&lt;$25M)",IF(C209&lt;100,"$25-100M",IF(C209&lt;250,"$100-250M","$250-500M")))</f>
        <v>$250-500M</v>
      </c>
    </row>
    <row r="210" customFormat="false" ht="23.85" hidden="false" customHeight="false" outlineLevel="0" collapsed="false">
      <c r="A210" s="12" t="s">
        <v>576</v>
      </c>
      <c r="B210" s="13" t="s">
        <v>577</v>
      </c>
      <c r="C210" s="14" t="n">
        <v>333.93</v>
      </c>
      <c r="D210" s="15" t="s">
        <v>16</v>
      </c>
      <c r="E210" s="13" t="s">
        <v>246</v>
      </c>
      <c r="F210" s="13" t="s">
        <v>247</v>
      </c>
      <c r="G210" s="13"/>
      <c r="H210" s="16" t="s">
        <v>63</v>
      </c>
      <c r="I210" s="15" t="n">
        <v>2</v>
      </c>
      <c r="J210" s="15" t="n">
        <v>2</v>
      </c>
      <c r="K210" s="15" t="n">
        <f aca="false">IF(C210&gt;=50,1,0)</f>
        <v>1</v>
      </c>
      <c r="L210" s="17" t="n">
        <f aca="false">IF(H210="0 (checked)",2,IF(H210="Unverified",1,IF(H210="1 (checked)",0.5,0)))</f>
        <v>1</v>
      </c>
      <c r="M210" s="17" t="n">
        <f aca="false">I210+J210+K210+L210</f>
        <v>6</v>
      </c>
      <c r="N210" s="15" t="str">
        <f aca="false">IF(C210&lt;25,"Nano (&lt;$25M)",IF(C210&lt;100,"$25-100M",IF(C210&lt;250,"$100-250M","$250-500M")))</f>
        <v>$250-500M</v>
      </c>
    </row>
    <row r="211" customFormat="false" ht="23.85" hidden="false" customHeight="false" outlineLevel="0" collapsed="false">
      <c r="A211" s="12" t="s">
        <v>578</v>
      </c>
      <c r="B211" s="13" t="s">
        <v>579</v>
      </c>
      <c r="C211" s="14" t="n">
        <v>284.88</v>
      </c>
      <c r="D211" s="15" t="s">
        <v>16</v>
      </c>
      <c r="E211" s="13" t="s">
        <v>246</v>
      </c>
      <c r="F211" s="13" t="s">
        <v>247</v>
      </c>
      <c r="G211" s="13" t="s">
        <v>580</v>
      </c>
      <c r="H211" s="16" t="s">
        <v>63</v>
      </c>
      <c r="I211" s="15" t="n">
        <v>2</v>
      </c>
      <c r="J211" s="15" t="n">
        <v>2</v>
      </c>
      <c r="K211" s="15" t="n">
        <f aca="false">IF(C211&gt;=50,1,0)</f>
        <v>1</v>
      </c>
      <c r="L211" s="17" t="n">
        <f aca="false">IF(H211="0 (checked)",2,IF(H211="Unverified",1,IF(H211="1 (checked)",0.5,0)))</f>
        <v>1</v>
      </c>
      <c r="M211" s="17" t="n">
        <f aca="false">I211+J211+K211+L211</f>
        <v>6</v>
      </c>
      <c r="N211" s="15" t="str">
        <f aca="false">IF(C211&lt;25,"Nano (&lt;$25M)",IF(C211&lt;100,"$25-100M",IF(C211&lt;250,"$100-250M","$250-500M")))</f>
        <v>$250-500M</v>
      </c>
    </row>
    <row r="212" customFormat="false" ht="23.85" hidden="false" customHeight="false" outlineLevel="0" collapsed="false">
      <c r="A212" s="12" t="s">
        <v>581</v>
      </c>
      <c r="B212" s="13" t="s">
        <v>582</v>
      </c>
      <c r="C212" s="14" t="n">
        <v>158.48</v>
      </c>
      <c r="D212" s="15" t="s">
        <v>16</v>
      </c>
      <c r="E212" s="13" t="s">
        <v>246</v>
      </c>
      <c r="F212" s="13" t="s">
        <v>247</v>
      </c>
      <c r="G212" s="13"/>
      <c r="H212" s="16" t="s">
        <v>63</v>
      </c>
      <c r="I212" s="15" t="n">
        <v>2</v>
      </c>
      <c r="J212" s="15" t="n">
        <v>2</v>
      </c>
      <c r="K212" s="15" t="n">
        <f aca="false">IF(C212&gt;=50,1,0)</f>
        <v>1</v>
      </c>
      <c r="L212" s="17" t="n">
        <f aca="false">IF(H212="0 (checked)",2,IF(H212="Unverified",1,IF(H212="1 (checked)",0.5,0)))</f>
        <v>1</v>
      </c>
      <c r="M212" s="17" t="n">
        <f aca="false">I212+J212+K212+L212</f>
        <v>6</v>
      </c>
      <c r="N212" s="15" t="str">
        <f aca="false">IF(C212&lt;25,"Nano (&lt;$25M)",IF(C212&lt;100,"$25-100M",IF(C212&lt;250,"$100-250M","$250-500M")))</f>
        <v>$100-250M</v>
      </c>
    </row>
    <row r="213" customFormat="false" ht="23.85" hidden="false" customHeight="false" outlineLevel="0" collapsed="false">
      <c r="A213" s="12" t="s">
        <v>583</v>
      </c>
      <c r="B213" s="13" t="s">
        <v>584</v>
      </c>
      <c r="C213" s="14" t="n">
        <v>144.59</v>
      </c>
      <c r="D213" s="15" t="s">
        <v>16</v>
      </c>
      <c r="E213" s="13" t="s">
        <v>246</v>
      </c>
      <c r="F213" s="13" t="s">
        <v>247</v>
      </c>
      <c r="G213" s="13"/>
      <c r="H213" s="16" t="s">
        <v>63</v>
      </c>
      <c r="I213" s="15" t="n">
        <v>2</v>
      </c>
      <c r="J213" s="15" t="n">
        <v>2</v>
      </c>
      <c r="K213" s="15" t="n">
        <f aca="false">IF(C213&gt;=50,1,0)</f>
        <v>1</v>
      </c>
      <c r="L213" s="17" t="n">
        <f aca="false">IF(H213="0 (checked)",2,IF(H213="Unverified",1,IF(H213="1 (checked)",0.5,0)))</f>
        <v>1</v>
      </c>
      <c r="M213" s="17" t="n">
        <f aca="false">I213+J213+K213+L213</f>
        <v>6</v>
      </c>
      <c r="N213" s="15" t="str">
        <f aca="false">IF(C213&lt;25,"Nano (&lt;$25M)",IF(C213&lt;100,"$25-100M",IF(C213&lt;250,"$100-250M","$250-500M")))</f>
        <v>$100-250M</v>
      </c>
    </row>
    <row r="214" customFormat="false" ht="23.85" hidden="false" customHeight="false" outlineLevel="0" collapsed="false">
      <c r="A214" s="12" t="s">
        <v>585</v>
      </c>
      <c r="B214" s="13" t="s">
        <v>586</v>
      </c>
      <c r="C214" s="14" t="n">
        <v>137.7</v>
      </c>
      <c r="D214" s="15" t="s">
        <v>18</v>
      </c>
      <c r="E214" s="13" t="s">
        <v>587</v>
      </c>
      <c r="F214" s="13" t="s">
        <v>588</v>
      </c>
      <c r="G214" s="13" t="s">
        <v>589</v>
      </c>
      <c r="H214" s="16" t="s">
        <v>63</v>
      </c>
      <c r="I214" s="15" t="n">
        <v>1</v>
      </c>
      <c r="J214" s="15" t="n">
        <v>3</v>
      </c>
      <c r="K214" s="15" t="n">
        <f aca="false">IF(C214&gt;=50,1,0)</f>
        <v>1</v>
      </c>
      <c r="L214" s="17" t="n">
        <f aca="false">IF(H214="0 (checked)",2,IF(H214="Unverified",1,IF(H214="1 (checked)",0.5,0)))</f>
        <v>1</v>
      </c>
      <c r="M214" s="17" t="n">
        <f aca="false">I214+J214+K214+L214</f>
        <v>6</v>
      </c>
      <c r="N214" s="15" t="str">
        <f aca="false">IF(C214&lt;25,"Nano (&lt;$25M)",IF(C214&lt;100,"$25-100M",IF(C214&lt;250,"$100-250M","$250-500M")))</f>
        <v>$100-250M</v>
      </c>
    </row>
    <row r="215" customFormat="false" ht="23.85" hidden="false" customHeight="false" outlineLevel="0" collapsed="false">
      <c r="A215" s="12" t="s">
        <v>590</v>
      </c>
      <c r="B215" s="13" t="s">
        <v>591</v>
      </c>
      <c r="C215" s="14" t="n">
        <v>137.48</v>
      </c>
      <c r="D215" s="15" t="s">
        <v>16</v>
      </c>
      <c r="E215" s="13" t="s">
        <v>246</v>
      </c>
      <c r="F215" s="13" t="s">
        <v>247</v>
      </c>
      <c r="G215" s="13"/>
      <c r="H215" s="16" t="s">
        <v>63</v>
      </c>
      <c r="I215" s="15" t="n">
        <v>2</v>
      </c>
      <c r="J215" s="15" t="n">
        <v>2</v>
      </c>
      <c r="K215" s="15" t="n">
        <f aca="false">IF(C215&gt;=50,1,0)</f>
        <v>1</v>
      </c>
      <c r="L215" s="17" t="n">
        <f aca="false">IF(H215="0 (checked)",2,IF(H215="Unverified",1,IF(H215="1 (checked)",0.5,0)))</f>
        <v>1</v>
      </c>
      <c r="M215" s="17" t="n">
        <f aca="false">I215+J215+K215+L215</f>
        <v>6</v>
      </c>
      <c r="N215" s="15" t="str">
        <f aca="false">IF(C215&lt;25,"Nano (&lt;$25M)",IF(C215&lt;100,"$25-100M",IF(C215&lt;250,"$100-250M","$250-500M")))</f>
        <v>$100-250M</v>
      </c>
    </row>
    <row r="216" customFormat="false" ht="23.85" hidden="false" customHeight="false" outlineLevel="0" collapsed="false">
      <c r="A216" s="12" t="s">
        <v>592</v>
      </c>
      <c r="B216" s="13" t="s">
        <v>593</v>
      </c>
      <c r="C216" s="14" t="n">
        <v>90.63</v>
      </c>
      <c r="D216" s="15" t="s">
        <v>23</v>
      </c>
      <c r="E216" s="13" t="s">
        <v>564</v>
      </c>
      <c r="F216" s="13" t="s">
        <v>565</v>
      </c>
      <c r="G216" s="13"/>
      <c r="H216" s="16" t="s">
        <v>63</v>
      </c>
      <c r="I216" s="15" t="n">
        <v>2</v>
      </c>
      <c r="J216" s="15" t="n">
        <v>2</v>
      </c>
      <c r="K216" s="15" t="n">
        <f aca="false">IF(C216&gt;=50,1,0)</f>
        <v>1</v>
      </c>
      <c r="L216" s="17" t="n">
        <f aca="false">IF(H216="0 (checked)",2,IF(H216="Unverified",1,IF(H216="1 (checked)",0.5,0)))</f>
        <v>1</v>
      </c>
      <c r="M216" s="17" t="n">
        <f aca="false">I216+J216+K216+L216</f>
        <v>6</v>
      </c>
      <c r="N216" s="15" t="str">
        <f aca="false">IF(C216&lt;25,"Nano (&lt;$25M)",IF(C216&lt;100,"$25-100M",IF(C216&lt;250,"$100-250M","$250-500M")))</f>
        <v>$25-100M</v>
      </c>
    </row>
    <row r="217" customFormat="false" ht="23.85" hidden="false" customHeight="false" outlineLevel="0" collapsed="false">
      <c r="A217" s="12" t="s">
        <v>594</v>
      </c>
      <c r="B217" s="13" t="s">
        <v>595</v>
      </c>
      <c r="C217" s="14" t="n">
        <v>71.47</v>
      </c>
      <c r="D217" s="15" t="s">
        <v>23</v>
      </c>
      <c r="E217" s="13" t="s">
        <v>564</v>
      </c>
      <c r="F217" s="13" t="s">
        <v>565</v>
      </c>
      <c r="G217" s="13" t="s">
        <v>596</v>
      </c>
      <c r="H217" s="16" t="s">
        <v>63</v>
      </c>
      <c r="I217" s="15" t="n">
        <v>2</v>
      </c>
      <c r="J217" s="15" t="n">
        <v>2</v>
      </c>
      <c r="K217" s="15" t="n">
        <f aca="false">IF(C217&gt;=50,1,0)</f>
        <v>1</v>
      </c>
      <c r="L217" s="17" t="n">
        <f aca="false">IF(H217="0 (checked)",2,IF(H217="Unverified",1,IF(H217="1 (checked)",0.5,0)))</f>
        <v>1</v>
      </c>
      <c r="M217" s="17" t="n">
        <f aca="false">I217+J217+K217+L217</f>
        <v>6</v>
      </c>
      <c r="N217" s="15" t="str">
        <f aca="false">IF(C217&lt;25,"Nano (&lt;$25M)",IF(C217&lt;100,"$25-100M",IF(C217&lt;250,"$100-250M","$250-500M")))</f>
        <v>$25-100M</v>
      </c>
    </row>
    <row r="218" customFormat="false" ht="23.85" hidden="false" customHeight="false" outlineLevel="0" collapsed="false">
      <c r="A218" s="12" t="s">
        <v>597</v>
      </c>
      <c r="B218" s="13" t="s">
        <v>598</v>
      </c>
      <c r="C218" s="14" t="n">
        <v>56.08</v>
      </c>
      <c r="D218" s="15" t="s">
        <v>16</v>
      </c>
      <c r="E218" s="13" t="s">
        <v>246</v>
      </c>
      <c r="F218" s="13" t="s">
        <v>247</v>
      </c>
      <c r="G218" s="13"/>
      <c r="H218" s="16" t="s">
        <v>63</v>
      </c>
      <c r="I218" s="15" t="n">
        <v>2</v>
      </c>
      <c r="J218" s="15" t="n">
        <v>2</v>
      </c>
      <c r="K218" s="15" t="n">
        <f aca="false">IF(C218&gt;=50,1,0)</f>
        <v>1</v>
      </c>
      <c r="L218" s="17" t="n">
        <f aca="false">IF(H218="0 (checked)",2,IF(H218="Unverified",1,IF(H218="1 (checked)",0.5,0)))</f>
        <v>1</v>
      </c>
      <c r="M218" s="17" t="n">
        <f aca="false">I218+J218+K218+L218</f>
        <v>6</v>
      </c>
      <c r="N218" s="15" t="str">
        <f aca="false">IF(C218&lt;25,"Nano (&lt;$25M)",IF(C218&lt;100,"$25-100M",IF(C218&lt;250,"$100-250M","$250-500M")))</f>
        <v>$25-100M</v>
      </c>
    </row>
    <row r="219" customFormat="false" ht="35.05" hidden="false" customHeight="false" outlineLevel="0" collapsed="false">
      <c r="A219" s="12" t="s">
        <v>599</v>
      </c>
      <c r="B219" s="13" t="s">
        <v>600</v>
      </c>
      <c r="C219" s="14" t="n">
        <v>48.12</v>
      </c>
      <c r="D219" s="15" t="s">
        <v>12</v>
      </c>
      <c r="E219" s="13" t="s">
        <v>173</v>
      </c>
      <c r="F219" s="13" t="s">
        <v>174</v>
      </c>
      <c r="G219" s="13"/>
      <c r="H219" s="16" t="s">
        <v>63</v>
      </c>
      <c r="I219" s="15" t="n">
        <v>2</v>
      </c>
      <c r="J219" s="15" t="n">
        <v>3</v>
      </c>
      <c r="K219" s="15" t="n">
        <f aca="false">IF(C219&gt;=50,1,0)</f>
        <v>0</v>
      </c>
      <c r="L219" s="17" t="n">
        <f aca="false">IF(H219="0 (checked)",2,IF(H219="Unverified",1,IF(H219="1 (checked)",0.5,0)))</f>
        <v>1</v>
      </c>
      <c r="M219" s="17" t="n">
        <f aca="false">I219+J219+K219+L219</f>
        <v>6</v>
      </c>
      <c r="N219" s="15" t="str">
        <f aca="false">IF(C219&lt;25,"Nano (&lt;$25M)",IF(C219&lt;100,"$25-100M",IF(C219&lt;250,"$100-250M","$250-500M")))</f>
        <v>$25-100M</v>
      </c>
    </row>
    <row r="220" customFormat="false" ht="35.05" hidden="false" customHeight="false" outlineLevel="0" collapsed="false">
      <c r="A220" s="12" t="s">
        <v>601</v>
      </c>
      <c r="B220" s="13" t="s">
        <v>602</v>
      </c>
      <c r="C220" s="14" t="n">
        <v>46.85</v>
      </c>
      <c r="D220" s="15" t="s">
        <v>12</v>
      </c>
      <c r="E220" s="13" t="s">
        <v>173</v>
      </c>
      <c r="F220" s="13" t="s">
        <v>174</v>
      </c>
      <c r="G220" s="13"/>
      <c r="H220" s="16" t="s">
        <v>63</v>
      </c>
      <c r="I220" s="15" t="n">
        <v>2</v>
      </c>
      <c r="J220" s="15" t="n">
        <v>3</v>
      </c>
      <c r="K220" s="15" t="n">
        <f aca="false">IF(C220&gt;=50,1,0)</f>
        <v>0</v>
      </c>
      <c r="L220" s="17" t="n">
        <f aca="false">IF(H220="0 (checked)",2,IF(H220="Unverified",1,IF(H220="1 (checked)",0.5,0)))</f>
        <v>1</v>
      </c>
      <c r="M220" s="17" t="n">
        <f aca="false">I220+J220+K220+L220</f>
        <v>6</v>
      </c>
      <c r="N220" s="15" t="str">
        <f aca="false">IF(C220&lt;25,"Nano (&lt;$25M)",IF(C220&lt;100,"$25-100M",IF(C220&lt;250,"$100-250M","$250-500M")))</f>
        <v>$25-100M</v>
      </c>
    </row>
    <row r="221" customFormat="false" ht="35.05" hidden="false" customHeight="false" outlineLevel="0" collapsed="false">
      <c r="A221" s="12" t="s">
        <v>603</v>
      </c>
      <c r="B221" s="13" t="s">
        <v>604</v>
      </c>
      <c r="C221" s="14" t="n">
        <v>44.69</v>
      </c>
      <c r="D221" s="15" t="s">
        <v>12</v>
      </c>
      <c r="E221" s="13" t="s">
        <v>173</v>
      </c>
      <c r="F221" s="13" t="s">
        <v>174</v>
      </c>
      <c r="G221" s="13"/>
      <c r="H221" s="16" t="s">
        <v>63</v>
      </c>
      <c r="I221" s="15" t="n">
        <v>2</v>
      </c>
      <c r="J221" s="15" t="n">
        <v>3</v>
      </c>
      <c r="K221" s="15" t="n">
        <f aca="false">IF(C221&gt;=50,1,0)</f>
        <v>0</v>
      </c>
      <c r="L221" s="17" t="n">
        <f aca="false">IF(H221="0 (checked)",2,IF(H221="Unverified",1,IF(H221="1 (checked)",0.5,0)))</f>
        <v>1</v>
      </c>
      <c r="M221" s="17" t="n">
        <f aca="false">I221+J221+K221+L221</f>
        <v>6</v>
      </c>
      <c r="N221" s="15" t="str">
        <f aca="false">IF(C221&lt;25,"Nano (&lt;$25M)",IF(C221&lt;100,"$25-100M",IF(C221&lt;250,"$100-250M","$250-500M")))</f>
        <v>$25-100M</v>
      </c>
    </row>
    <row r="222" customFormat="false" ht="35.05" hidden="false" customHeight="false" outlineLevel="0" collapsed="false">
      <c r="A222" s="12" t="s">
        <v>605</v>
      </c>
      <c r="B222" s="13" t="s">
        <v>606</v>
      </c>
      <c r="C222" s="14" t="n">
        <v>39.26</v>
      </c>
      <c r="D222" s="15" t="s">
        <v>22</v>
      </c>
      <c r="E222" s="13" t="s">
        <v>267</v>
      </c>
      <c r="F222" s="13" t="s">
        <v>268</v>
      </c>
      <c r="G222" s="13" t="s">
        <v>607</v>
      </c>
      <c r="H222" s="16" t="s">
        <v>63</v>
      </c>
      <c r="I222" s="15" t="n">
        <v>2</v>
      </c>
      <c r="J222" s="15" t="n">
        <v>3</v>
      </c>
      <c r="K222" s="15" t="n">
        <f aca="false">IF(C222&gt;=50,1,0)</f>
        <v>0</v>
      </c>
      <c r="L222" s="17" t="n">
        <f aca="false">IF(H222="0 (checked)",2,IF(H222="Unverified",1,IF(H222="1 (checked)",0.5,0)))</f>
        <v>1</v>
      </c>
      <c r="M222" s="17" t="n">
        <f aca="false">I222+J222+K222+L222</f>
        <v>6</v>
      </c>
      <c r="N222" s="15" t="str">
        <f aca="false">IF(C222&lt;25,"Nano (&lt;$25M)",IF(C222&lt;100,"$25-100M",IF(C222&lt;250,"$100-250M","$250-500M")))</f>
        <v>$25-100M</v>
      </c>
    </row>
    <row r="223" customFormat="false" ht="23.85" hidden="false" customHeight="false" outlineLevel="0" collapsed="false">
      <c r="A223" s="12" t="s">
        <v>608</v>
      </c>
      <c r="B223" s="13" t="s">
        <v>609</v>
      </c>
      <c r="C223" s="14" t="n">
        <v>26.64</v>
      </c>
      <c r="D223" s="15" t="s">
        <v>30</v>
      </c>
      <c r="E223" s="13" t="s">
        <v>380</v>
      </c>
      <c r="F223" s="13" t="s">
        <v>381</v>
      </c>
      <c r="G223" s="13" t="s">
        <v>610</v>
      </c>
      <c r="H223" s="16" t="s">
        <v>63</v>
      </c>
      <c r="I223" s="15" t="n">
        <v>3</v>
      </c>
      <c r="J223" s="15" t="n">
        <v>2</v>
      </c>
      <c r="K223" s="15" t="n">
        <f aca="false">IF(C223&gt;=50,1,0)</f>
        <v>0</v>
      </c>
      <c r="L223" s="17" t="n">
        <f aca="false">IF(H223="0 (checked)",2,IF(H223="Unverified",1,IF(H223="1 (checked)",0.5,0)))</f>
        <v>1</v>
      </c>
      <c r="M223" s="17" t="n">
        <f aca="false">I223+J223+K223+L223</f>
        <v>6</v>
      </c>
      <c r="N223" s="15" t="str">
        <f aca="false">IF(C223&lt;25,"Nano (&lt;$25M)",IF(C223&lt;100,"$25-100M",IF(C223&lt;250,"$100-250M","$250-500M")))</f>
        <v>$25-100M</v>
      </c>
    </row>
    <row r="224" customFormat="false" ht="35.05" hidden="false" customHeight="false" outlineLevel="0" collapsed="false">
      <c r="A224" s="12" t="s">
        <v>611</v>
      </c>
      <c r="B224" s="13" t="s">
        <v>612</v>
      </c>
      <c r="C224" s="14" t="n">
        <v>24.68</v>
      </c>
      <c r="D224" s="15" t="s">
        <v>22</v>
      </c>
      <c r="E224" s="13" t="s">
        <v>267</v>
      </c>
      <c r="F224" s="13" t="s">
        <v>268</v>
      </c>
      <c r="G224" s="13"/>
      <c r="H224" s="16" t="s">
        <v>63</v>
      </c>
      <c r="I224" s="15" t="n">
        <v>2</v>
      </c>
      <c r="J224" s="15" t="n">
        <v>3</v>
      </c>
      <c r="K224" s="15" t="n">
        <f aca="false">IF(C224&gt;=50,1,0)</f>
        <v>0</v>
      </c>
      <c r="L224" s="17" t="n">
        <f aca="false">IF(H224="0 (checked)",2,IF(H224="Unverified",1,IF(H224="1 (checked)",0.5,0)))</f>
        <v>1</v>
      </c>
      <c r="M224" s="17" t="n">
        <f aca="false">I224+J224+K224+L224</f>
        <v>6</v>
      </c>
      <c r="N224" s="15" t="str">
        <f aca="false">IF(C224&lt;25,"Nano (&lt;$25M)",IF(C224&lt;100,"$25-100M",IF(C224&lt;250,"$100-250M","$250-500M")))</f>
        <v>Nano (&lt;$25M)</v>
      </c>
    </row>
    <row r="225" customFormat="false" ht="35.05" hidden="false" customHeight="false" outlineLevel="0" collapsed="false">
      <c r="A225" s="12" t="s">
        <v>613</v>
      </c>
      <c r="B225" s="13" t="s">
        <v>614</v>
      </c>
      <c r="C225" s="14" t="n">
        <v>21.66</v>
      </c>
      <c r="D225" s="15" t="s">
        <v>22</v>
      </c>
      <c r="E225" s="13" t="s">
        <v>267</v>
      </c>
      <c r="F225" s="13" t="s">
        <v>268</v>
      </c>
      <c r="G225" s="13"/>
      <c r="H225" s="16" t="s">
        <v>63</v>
      </c>
      <c r="I225" s="15" t="n">
        <v>2</v>
      </c>
      <c r="J225" s="15" t="n">
        <v>3</v>
      </c>
      <c r="K225" s="15" t="n">
        <f aca="false">IF(C225&gt;=50,1,0)</f>
        <v>0</v>
      </c>
      <c r="L225" s="17" t="n">
        <f aca="false">IF(H225="0 (checked)",2,IF(H225="Unverified",1,IF(H225="1 (checked)",0.5,0)))</f>
        <v>1</v>
      </c>
      <c r="M225" s="17" t="n">
        <f aca="false">I225+J225+K225+L225</f>
        <v>6</v>
      </c>
      <c r="N225" s="15" t="str">
        <f aca="false">IF(C225&lt;25,"Nano (&lt;$25M)",IF(C225&lt;100,"$25-100M",IF(C225&lt;250,"$100-250M","$250-500M")))</f>
        <v>Nano (&lt;$25M)</v>
      </c>
    </row>
    <row r="226" customFormat="false" ht="35.05" hidden="false" customHeight="false" outlineLevel="0" collapsed="false">
      <c r="A226" s="12" t="s">
        <v>615</v>
      </c>
      <c r="B226" s="13" t="s">
        <v>616</v>
      </c>
      <c r="C226" s="14" t="n">
        <v>19.83</v>
      </c>
      <c r="D226" s="15" t="s">
        <v>22</v>
      </c>
      <c r="E226" s="13" t="s">
        <v>267</v>
      </c>
      <c r="F226" s="13" t="s">
        <v>268</v>
      </c>
      <c r="G226" s="13"/>
      <c r="H226" s="16" t="s">
        <v>63</v>
      </c>
      <c r="I226" s="15" t="n">
        <v>2</v>
      </c>
      <c r="J226" s="15" t="n">
        <v>3</v>
      </c>
      <c r="K226" s="15" t="n">
        <f aca="false">IF(C226&gt;=50,1,0)</f>
        <v>0</v>
      </c>
      <c r="L226" s="17" t="n">
        <f aca="false">IF(H226="0 (checked)",2,IF(H226="Unverified",1,IF(H226="1 (checked)",0.5,0)))</f>
        <v>1</v>
      </c>
      <c r="M226" s="17" t="n">
        <f aca="false">I226+J226+K226+L226</f>
        <v>6</v>
      </c>
      <c r="N226" s="15" t="str">
        <f aca="false">IF(C226&lt;25,"Nano (&lt;$25M)",IF(C226&lt;100,"$25-100M",IF(C226&lt;250,"$100-250M","$250-500M")))</f>
        <v>Nano (&lt;$25M)</v>
      </c>
    </row>
    <row r="227" customFormat="false" ht="23.85" hidden="false" customHeight="false" outlineLevel="0" collapsed="false">
      <c r="A227" s="12" t="s">
        <v>617</v>
      </c>
      <c r="B227" s="13" t="s">
        <v>618</v>
      </c>
      <c r="C227" s="14" t="n">
        <v>18.3</v>
      </c>
      <c r="D227" s="15" t="s">
        <v>19</v>
      </c>
      <c r="E227" s="13" t="s">
        <v>155</v>
      </c>
      <c r="F227" s="13" t="s">
        <v>156</v>
      </c>
      <c r="G227" s="13"/>
      <c r="H227" s="16" t="s">
        <v>63</v>
      </c>
      <c r="I227" s="15" t="n">
        <v>2</v>
      </c>
      <c r="J227" s="15" t="n">
        <v>3</v>
      </c>
      <c r="K227" s="15" t="n">
        <f aca="false">IF(C227&gt;=50,1,0)</f>
        <v>0</v>
      </c>
      <c r="L227" s="17" t="n">
        <f aca="false">IF(H227="0 (checked)",2,IF(H227="Unverified",1,IF(H227="1 (checked)",0.5,0)))</f>
        <v>1</v>
      </c>
      <c r="M227" s="17" t="n">
        <f aca="false">I227+J227+K227+L227</f>
        <v>6</v>
      </c>
      <c r="N227" s="15" t="str">
        <f aca="false">IF(C227&lt;25,"Nano (&lt;$25M)",IF(C227&lt;100,"$25-100M",IF(C227&lt;250,"$100-250M","$250-500M")))</f>
        <v>Nano (&lt;$25M)</v>
      </c>
    </row>
    <row r="228" customFormat="false" ht="23.85" hidden="false" customHeight="false" outlineLevel="0" collapsed="false">
      <c r="A228" s="12" t="s">
        <v>619</v>
      </c>
      <c r="B228" s="13" t="s">
        <v>620</v>
      </c>
      <c r="C228" s="14" t="n">
        <v>15.69</v>
      </c>
      <c r="D228" s="15" t="s">
        <v>14</v>
      </c>
      <c r="E228" s="13" t="s">
        <v>214</v>
      </c>
      <c r="F228" s="13" t="s">
        <v>215</v>
      </c>
      <c r="G228" s="13" t="s">
        <v>621</v>
      </c>
      <c r="H228" s="16" t="s">
        <v>63</v>
      </c>
      <c r="I228" s="15" t="n">
        <v>3</v>
      </c>
      <c r="J228" s="15" t="n">
        <v>2</v>
      </c>
      <c r="K228" s="15" t="n">
        <f aca="false">IF(C228&gt;=50,1,0)</f>
        <v>0</v>
      </c>
      <c r="L228" s="17" t="n">
        <f aca="false">IF(H228="0 (checked)",2,IF(H228="Unverified",1,IF(H228="1 (checked)",0.5,0)))</f>
        <v>1</v>
      </c>
      <c r="M228" s="17" t="n">
        <f aca="false">I228+J228+K228+L228</f>
        <v>6</v>
      </c>
      <c r="N228" s="15" t="str">
        <f aca="false">IF(C228&lt;25,"Nano (&lt;$25M)",IF(C228&lt;100,"$25-100M",IF(C228&lt;250,"$100-250M","$250-500M")))</f>
        <v>Nano (&lt;$25M)</v>
      </c>
    </row>
    <row r="229" customFormat="false" ht="23.85" hidden="false" customHeight="false" outlineLevel="0" collapsed="false">
      <c r="A229" s="12" t="s">
        <v>622</v>
      </c>
      <c r="B229" s="13" t="s">
        <v>623</v>
      </c>
      <c r="C229" s="14" t="n">
        <v>14.96</v>
      </c>
      <c r="D229" s="15" t="s">
        <v>19</v>
      </c>
      <c r="E229" s="13" t="s">
        <v>155</v>
      </c>
      <c r="F229" s="13" t="s">
        <v>156</v>
      </c>
      <c r="G229" s="13"/>
      <c r="H229" s="16" t="s">
        <v>63</v>
      </c>
      <c r="I229" s="15" t="n">
        <v>2</v>
      </c>
      <c r="J229" s="15" t="n">
        <v>3</v>
      </c>
      <c r="K229" s="15" t="n">
        <f aca="false">IF(C229&gt;=50,1,0)</f>
        <v>0</v>
      </c>
      <c r="L229" s="17" t="n">
        <f aca="false">IF(H229="0 (checked)",2,IF(H229="Unverified",1,IF(H229="1 (checked)",0.5,0)))</f>
        <v>1</v>
      </c>
      <c r="M229" s="17" t="n">
        <f aca="false">I229+J229+K229+L229</f>
        <v>6</v>
      </c>
      <c r="N229" s="15" t="str">
        <f aca="false">IF(C229&lt;25,"Nano (&lt;$25M)",IF(C229&lt;100,"$25-100M",IF(C229&lt;250,"$100-250M","$250-500M")))</f>
        <v>Nano (&lt;$25M)</v>
      </c>
    </row>
    <row r="230" customFormat="false" ht="35.05" hidden="false" customHeight="false" outlineLevel="0" collapsed="false">
      <c r="A230" s="12" t="s">
        <v>624</v>
      </c>
      <c r="B230" s="13" t="s">
        <v>625</v>
      </c>
      <c r="C230" s="14" t="n">
        <v>13.06</v>
      </c>
      <c r="D230" s="15" t="s">
        <v>22</v>
      </c>
      <c r="E230" s="13" t="s">
        <v>267</v>
      </c>
      <c r="F230" s="13" t="s">
        <v>268</v>
      </c>
      <c r="G230" s="13" t="s">
        <v>626</v>
      </c>
      <c r="H230" s="16" t="s">
        <v>63</v>
      </c>
      <c r="I230" s="15" t="n">
        <v>2</v>
      </c>
      <c r="J230" s="15" t="n">
        <v>3</v>
      </c>
      <c r="K230" s="15" t="n">
        <f aca="false">IF(C230&gt;=50,1,0)</f>
        <v>0</v>
      </c>
      <c r="L230" s="17" t="n">
        <f aca="false">IF(H230="0 (checked)",2,IF(H230="Unverified",1,IF(H230="1 (checked)",0.5,0)))</f>
        <v>1</v>
      </c>
      <c r="M230" s="17" t="n">
        <f aca="false">I230+J230+K230+L230</f>
        <v>6</v>
      </c>
      <c r="N230" s="15" t="str">
        <f aca="false">IF(C230&lt;25,"Nano (&lt;$25M)",IF(C230&lt;100,"$25-100M",IF(C230&lt;250,"$100-250M","$250-500M")))</f>
        <v>Nano (&lt;$25M)</v>
      </c>
    </row>
    <row r="231" customFormat="false" ht="23.85" hidden="false" customHeight="false" outlineLevel="0" collapsed="false">
      <c r="A231" s="12" t="s">
        <v>627</v>
      </c>
      <c r="B231" s="13" t="s">
        <v>628</v>
      </c>
      <c r="C231" s="14" t="n">
        <v>11.94</v>
      </c>
      <c r="D231" s="15" t="s">
        <v>14</v>
      </c>
      <c r="E231" s="13" t="s">
        <v>214</v>
      </c>
      <c r="F231" s="13" t="s">
        <v>215</v>
      </c>
      <c r="G231" s="13" t="s">
        <v>629</v>
      </c>
      <c r="H231" s="16" t="s">
        <v>63</v>
      </c>
      <c r="I231" s="15" t="n">
        <v>3</v>
      </c>
      <c r="J231" s="15" t="n">
        <v>2</v>
      </c>
      <c r="K231" s="15" t="n">
        <f aca="false">IF(C231&gt;=50,1,0)</f>
        <v>0</v>
      </c>
      <c r="L231" s="17" t="n">
        <f aca="false">IF(H231="0 (checked)",2,IF(H231="Unverified",1,IF(H231="1 (checked)",0.5,0)))</f>
        <v>1</v>
      </c>
      <c r="M231" s="17" t="n">
        <f aca="false">I231+J231+K231+L231</f>
        <v>6</v>
      </c>
      <c r="N231" s="15" t="str">
        <f aca="false">IF(C231&lt;25,"Nano (&lt;$25M)",IF(C231&lt;100,"$25-100M",IF(C231&lt;250,"$100-250M","$250-500M")))</f>
        <v>Nano (&lt;$25M)</v>
      </c>
    </row>
    <row r="232" customFormat="false" ht="35.05" hidden="false" customHeight="false" outlineLevel="0" collapsed="false">
      <c r="A232" s="12" t="s">
        <v>630</v>
      </c>
      <c r="B232" s="13" t="s">
        <v>631</v>
      </c>
      <c r="C232" s="14" t="n">
        <v>3.75</v>
      </c>
      <c r="D232" s="15" t="s">
        <v>22</v>
      </c>
      <c r="E232" s="13" t="s">
        <v>267</v>
      </c>
      <c r="F232" s="13" t="s">
        <v>268</v>
      </c>
      <c r="G232" s="13"/>
      <c r="H232" s="16" t="s">
        <v>63</v>
      </c>
      <c r="I232" s="15" t="n">
        <v>2</v>
      </c>
      <c r="J232" s="15" t="n">
        <v>3</v>
      </c>
      <c r="K232" s="15" t="n">
        <f aca="false">IF(C232&gt;=50,1,0)</f>
        <v>0</v>
      </c>
      <c r="L232" s="17" t="n">
        <f aca="false">IF(H232="0 (checked)",2,IF(H232="Unverified",1,IF(H232="1 (checked)",0.5,0)))</f>
        <v>1</v>
      </c>
      <c r="M232" s="17" t="n">
        <f aca="false">I232+J232+K232+L232</f>
        <v>6</v>
      </c>
      <c r="N232" s="15" t="str">
        <f aca="false">IF(C232&lt;25,"Nano (&lt;$25M)",IF(C232&lt;100,"$25-100M",IF(C232&lt;250,"$100-250M","$250-500M")))</f>
        <v>Nano (&lt;$25M)</v>
      </c>
    </row>
    <row r="233" customFormat="false" ht="23.85" hidden="false" customHeight="false" outlineLevel="0" collapsed="false">
      <c r="A233" s="12" t="s">
        <v>632</v>
      </c>
      <c r="B233" s="13" t="s">
        <v>633</v>
      </c>
      <c r="C233" s="14" t="n">
        <v>34.32</v>
      </c>
      <c r="D233" s="15" t="s">
        <v>16</v>
      </c>
      <c r="E233" s="13" t="s">
        <v>246</v>
      </c>
      <c r="F233" s="13" t="s">
        <v>247</v>
      </c>
      <c r="G233" s="13"/>
      <c r="H233" s="16" t="s">
        <v>63</v>
      </c>
      <c r="I233" s="15" t="n">
        <v>2</v>
      </c>
      <c r="J233" s="15" t="n">
        <v>2</v>
      </c>
      <c r="K233" s="15" t="n">
        <f aca="false">IF(C233&gt;=50,1,0)</f>
        <v>0</v>
      </c>
      <c r="L233" s="17" t="n">
        <f aca="false">IF(H233="0 (checked)",2,IF(H233="Unverified",1,IF(H233="1 (checked)",0.5,0)))</f>
        <v>1</v>
      </c>
      <c r="M233" s="17" t="n">
        <f aca="false">I233+J233+K233+L233</f>
        <v>5</v>
      </c>
      <c r="N233" s="15" t="str">
        <f aca="false">IF(C233&lt;25,"Nano (&lt;$25M)",IF(C233&lt;100,"$25-100M",IF(C233&lt;250,"$100-250M","$250-500M")))</f>
        <v>$25-100M</v>
      </c>
    </row>
    <row r="234" customFormat="false" ht="23.85" hidden="false" customHeight="false" outlineLevel="0" collapsed="false">
      <c r="A234" s="12" t="s">
        <v>634</v>
      </c>
      <c r="B234" s="13" t="s">
        <v>635</v>
      </c>
      <c r="C234" s="14" t="n">
        <v>23.53</v>
      </c>
      <c r="D234" s="15" t="s">
        <v>16</v>
      </c>
      <c r="E234" s="13" t="s">
        <v>246</v>
      </c>
      <c r="F234" s="13" t="s">
        <v>247</v>
      </c>
      <c r="G234" s="13"/>
      <c r="H234" s="16" t="s">
        <v>63</v>
      </c>
      <c r="I234" s="15" t="n">
        <v>2</v>
      </c>
      <c r="J234" s="15" t="n">
        <v>2</v>
      </c>
      <c r="K234" s="15" t="n">
        <f aca="false">IF(C234&gt;=50,1,0)</f>
        <v>0</v>
      </c>
      <c r="L234" s="17" t="n">
        <f aca="false">IF(H234="0 (checked)",2,IF(H234="Unverified",1,IF(H234="1 (checked)",0.5,0)))</f>
        <v>1</v>
      </c>
      <c r="M234" s="17" t="n">
        <f aca="false">I234+J234+K234+L234</f>
        <v>5</v>
      </c>
      <c r="N234" s="15" t="str">
        <f aca="false">IF(C234&lt;25,"Nano (&lt;$25M)",IF(C234&lt;100,"$25-100M",IF(C234&lt;250,"$100-250M","$250-500M")))</f>
        <v>Nano (&lt;$25M)</v>
      </c>
    </row>
    <row r="235" customFormat="false" ht="23.85" hidden="false" customHeight="false" outlineLevel="0" collapsed="false">
      <c r="A235" s="12" t="s">
        <v>636</v>
      </c>
      <c r="B235" s="13" t="s">
        <v>637</v>
      </c>
      <c r="C235" s="14" t="n">
        <v>18.25</v>
      </c>
      <c r="D235" s="15" t="s">
        <v>16</v>
      </c>
      <c r="E235" s="13" t="s">
        <v>246</v>
      </c>
      <c r="F235" s="13" t="s">
        <v>247</v>
      </c>
      <c r="G235" s="13" t="s">
        <v>638</v>
      </c>
      <c r="H235" s="16" t="s">
        <v>63</v>
      </c>
      <c r="I235" s="15" t="n">
        <v>2</v>
      </c>
      <c r="J235" s="15" t="n">
        <v>2</v>
      </c>
      <c r="K235" s="15" t="n">
        <f aca="false">IF(C235&gt;=50,1,0)</f>
        <v>0</v>
      </c>
      <c r="L235" s="17" t="n">
        <f aca="false">IF(H235="0 (checked)",2,IF(H235="Unverified",1,IF(H235="1 (checked)",0.5,0)))</f>
        <v>1</v>
      </c>
      <c r="M235" s="17" t="n">
        <f aca="false">I235+J235+K235+L235</f>
        <v>5</v>
      </c>
      <c r="N235" s="15" t="str">
        <f aca="false">IF(C235&lt;25,"Nano (&lt;$25M)",IF(C235&lt;100,"$25-100M",IF(C235&lt;250,"$100-250M","$250-500M")))</f>
        <v>Nano (&lt;$25M)</v>
      </c>
    </row>
    <row r="236" customFormat="false" ht="23.85" hidden="false" customHeight="false" outlineLevel="0" collapsed="false">
      <c r="A236" s="12" t="s">
        <v>639</v>
      </c>
      <c r="B236" s="13" t="s">
        <v>640</v>
      </c>
      <c r="C236" s="14" t="n">
        <v>12.47</v>
      </c>
      <c r="D236" s="15" t="s">
        <v>18</v>
      </c>
      <c r="E236" s="13" t="s">
        <v>587</v>
      </c>
      <c r="F236" s="13" t="s">
        <v>588</v>
      </c>
      <c r="G236" s="13"/>
      <c r="H236" s="16" t="s">
        <v>63</v>
      </c>
      <c r="I236" s="15" t="n">
        <v>1</v>
      </c>
      <c r="J236" s="15" t="n">
        <v>3</v>
      </c>
      <c r="K236" s="15" t="n">
        <f aca="false">IF(C236&gt;=50,1,0)</f>
        <v>0</v>
      </c>
      <c r="L236" s="17" t="n">
        <f aca="false">IF(H236="0 (checked)",2,IF(H236="Unverified",1,IF(H236="1 (checked)",0.5,0)))</f>
        <v>1</v>
      </c>
      <c r="M236" s="17" t="n">
        <f aca="false">I236+J236+K236+L236</f>
        <v>5</v>
      </c>
      <c r="N236" s="15" t="str">
        <f aca="false">IF(C236&lt;25,"Nano (&lt;$25M)",IF(C236&lt;100,"$25-100M",IF(C236&lt;250,"$100-250M","$250-500M")))</f>
        <v>Nano (&lt;$25M)</v>
      </c>
    </row>
    <row r="237" customFormat="false" ht="23.85" hidden="false" customHeight="false" outlineLevel="0" collapsed="false">
      <c r="A237" s="12" t="s">
        <v>641</v>
      </c>
      <c r="B237" s="13" t="s">
        <v>642</v>
      </c>
      <c r="C237" s="14" t="n">
        <v>12.23</v>
      </c>
      <c r="D237" s="15" t="s">
        <v>16</v>
      </c>
      <c r="E237" s="13" t="s">
        <v>246</v>
      </c>
      <c r="F237" s="13" t="s">
        <v>247</v>
      </c>
      <c r="G237" s="13"/>
      <c r="H237" s="16" t="s">
        <v>63</v>
      </c>
      <c r="I237" s="15" t="n">
        <v>2</v>
      </c>
      <c r="J237" s="15" t="n">
        <v>2</v>
      </c>
      <c r="K237" s="15" t="n">
        <f aca="false">IF(C237&gt;=50,1,0)</f>
        <v>0</v>
      </c>
      <c r="L237" s="17" t="n">
        <f aca="false">IF(H237="0 (checked)",2,IF(H237="Unverified",1,IF(H237="1 (checked)",0.5,0)))</f>
        <v>1</v>
      </c>
      <c r="M237" s="17" t="n">
        <f aca="false">I237+J237+K237+L237</f>
        <v>5</v>
      </c>
      <c r="N237" s="15" t="str">
        <f aca="false">IF(C237&lt;25,"Nano (&lt;$25M)",IF(C237&lt;100,"$25-100M",IF(C237&lt;250,"$100-250M","$250-500M")))</f>
        <v>Nano (&lt;$25M)</v>
      </c>
    </row>
    <row r="238" customFormat="false" ht="23.85" hidden="false" customHeight="false" outlineLevel="0" collapsed="false">
      <c r="A238" s="12" t="s">
        <v>643</v>
      </c>
      <c r="B238" s="13" t="s">
        <v>644</v>
      </c>
      <c r="C238" s="14" t="n">
        <v>9.1</v>
      </c>
      <c r="D238" s="15" t="s">
        <v>23</v>
      </c>
      <c r="E238" s="13" t="s">
        <v>564</v>
      </c>
      <c r="F238" s="13" t="s">
        <v>565</v>
      </c>
      <c r="G238" s="13"/>
      <c r="H238" s="16" t="s">
        <v>63</v>
      </c>
      <c r="I238" s="15" t="n">
        <v>2</v>
      </c>
      <c r="J238" s="15" t="n">
        <v>2</v>
      </c>
      <c r="K238" s="15" t="n">
        <f aca="false">IF(C238&gt;=50,1,0)</f>
        <v>0</v>
      </c>
      <c r="L238" s="17" t="n">
        <f aca="false">IF(H238="0 (checked)",2,IF(H238="Unverified",1,IF(H238="1 (checked)",0.5,0)))</f>
        <v>1</v>
      </c>
      <c r="M238" s="17" t="n">
        <f aca="false">I238+J238+K238+L238</f>
        <v>5</v>
      </c>
      <c r="N238" s="15" t="str">
        <f aca="false">IF(C238&lt;25,"Nano (&lt;$25M)",IF(C238&lt;100,"$25-100M",IF(C238&lt;250,"$100-250M","$250-500M")))</f>
        <v>Nano (&lt;$25M)</v>
      </c>
    </row>
    <row r="239" customFormat="false" ht="23.85" hidden="false" customHeight="false" outlineLevel="0" collapsed="false">
      <c r="A239" s="12" t="s">
        <v>645</v>
      </c>
      <c r="B239" s="13" t="s">
        <v>646</v>
      </c>
      <c r="C239" s="14" t="n">
        <v>6.77</v>
      </c>
      <c r="D239" s="15" t="s">
        <v>18</v>
      </c>
      <c r="E239" s="13" t="s">
        <v>587</v>
      </c>
      <c r="F239" s="13" t="s">
        <v>588</v>
      </c>
      <c r="G239" s="13"/>
      <c r="H239" s="16" t="s">
        <v>63</v>
      </c>
      <c r="I239" s="15" t="n">
        <v>1</v>
      </c>
      <c r="J239" s="15" t="n">
        <v>3</v>
      </c>
      <c r="K239" s="15" t="n">
        <f aca="false">IF(C239&gt;=50,1,0)</f>
        <v>0</v>
      </c>
      <c r="L239" s="17" t="n">
        <f aca="false">IF(H239="0 (checked)",2,IF(H239="Unverified",1,IF(H239="1 (checked)",0.5,0)))</f>
        <v>1</v>
      </c>
      <c r="M239" s="17" t="n">
        <f aca="false">I239+J239+K239+L239</f>
        <v>5</v>
      </c>
      <c r="N239" s="15" t="str">
        <f aca="false">IF(C239&lt;25,"Nano (&lt;$25M)",IF(C239&lt;100,"$25-100M",IF(C239&lt;250,"$100-250M","$250-500M")))</f>
        <v>Nano (&lt;$25M)</v>
      </c>
    </row>
    <row r="240" customFormat="false" ht="23.85" hidden="false" customHeight="false" outlineLevel="0" collapsed="false">
      <c r="A240" s="12" t="s">
        <v>647</v>
      </c>
      <c r="B240" s="13" t="s">
        <v>648</v>
      </c>
      <c r="C240" s="14" t="n">
        <v>1.67</v>
      </c>
      <c r="D240" s="15" t="s">
        <v>16</v>
      </c>
      <c r="E240" s="13" t="s">
        <v>246</v>
      </c>
      <c r="F240" s="13" t="s">
        <v>247</v>
      </c>
      <c r="G240" s="13"/>
      <c r="H240" s="16" t="s">
        <v>63</v>
      </c>
      <c r="I240" s="15" t="n">
        <v>2</v>
      </c>
      <c r="J240" s="15" t="n">
        <v>2</v>
      </c>
      <c r="K240" s="15" t="n">
        <f aca="false">IF(C240&gt;=50,1,0)</f>
        <v>0</v>
      </c>
      <c r="L240" s="17" t="n">
        <f aca="false">IF(H240="0 (checked)",2,IF(H240="Unverified",1,IF(H240="1 (checked)",0.5,0)))</f>
        <v>1</v>
      </c>
      <c r="M240" s="17" t="n">
        <f aca="false">I240+J240+K240+L240</f>
        <v>5</v>
      </c>
      <c r="N240" s="15" t="str">
        <f aca="false">IF(C240&lt;25,"Nano (&lt;$25M)",IF(C240&lt;100,"$25-100M",IF(C240&lt;250,"$100-250M","$250-500M")))</f>
        <v>Nano (&lt;$25M)</v>
      </c>
    </row>
    <row r="241" customFormat="false" ht="23.85" hidden="false" customHeight="false" outlineLevel="0" collapsed="false">
      <c r="A241" s="12" t="s">
        <v>649</v>
      </c>
      <c r="B241" s="13" t="s">
        <v>650</v>
      </c>
      <c r="C241" s="14" t="n">
        <v>0.04</v>
      </c>
      <c r="D241" s="15" t="s">
        <v>16</v>
      </c>
      <c r="E241" s="13" t="s">
        <v>246</v>
      </c>
      <c r="F241" s="13" t="s">
        <v>247</v>
      </c>
      <c r="G241" s="13"/>
      <c r="H241" s="16" t="s">
        <v>63</v>
      </c>
      <c r="I241" s="15" t="n">
        <v>2</v>
      </c>
      <c r="J241" s="15" t="n">
        <v>2</v>
      </c>
      <c r="K241" s="15" t="n">
        <f aca="false">IF(C241&gt;=50,1,0)</f>
        <v>0</v>
      </c>
      <c r="L241" s="17" t="n">
        <f aca="false">IF(H241="0 (checked)",2,IF(H241="Unverified",1,IF(H241="1 (checked)",0.5,0)))</f>
        <v>1</v>
      </c>
      <c r="M241" s="17" t="n">
        <f aca="false">I241+J241+K241+L241</f>
        <v>5</v>
      </c>
      <c r="N241" s="15" t="str">
        <f aca="false">IF(C241&lt;25,"Nano (&lt;$25M)",IF(C241&lt;100,"$25-100M",IF(C241&lt;250,"$100-250M","$250-500M")))</f>
        <v>Nano (&lt;$25M)</v>
      </c>
    </row>
  </sheetData>
  <autoFilter ref="A4:N241"/>
  <mergeCells count="1">
    <mergeCell ref="A2:N2"/>
  </mergeCells>
  <dataValidations count="1">
    <dataValidation allowBlank="false" errorStyle="stop" operator="between" showDropDown="false" showErrorMessage="false" showInputMessage="false" sqref="H5:H241" type="list">
      <formula1>"0 (checked),1 (checked),2+ (checked),Unverified"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651</v>
      </c>
    </row>
    <row r="3" customFormat="false" ht="15" hidden="false" customHeight="false" outlineLevel="0" collapsed="false">
      <c r="A3" s="6" t="s">
        <v>8</v>
      </c>
      <c r="B3" s="6" t="s">
        <v>36</v>
      </c>
      <c r="C3" s="6" t="s">
        <v>37</v>
      </c>
      <c r="D3" s="6" t="s">
        <v>652</v>
      </c>
      <c r="E3" s="6" t="s">
        <v>653</v>
      </c>
    </row>
    <row r="4" customFormat="false" ht="23.85" hidden="false" customHeight="false" outlineLevel="0" collapsed="false">
      <c r="A4" s="13" t="s">
        <v>12</v>
      </c>
      <c r="B4" s="13" t="s">
        <v>173</v>
      </c>
      <c r="C4" s="13" t="s">
        <v>174</v>
      </c>
      <c r="D4" s="13" t="n">
        <v>2</v>
      </c>
      <c r="E4" s="13" t="n">
        <v>3</v>
      </c>
    </row>
    <row r="5" customFormat="false" ht="23.85" hidden="false" customHeight="false" outlineLevel="0" collapsed="false">
      <c r="A5" s="13" t="s">
        <v>13</v>
      </c>
      <c r="B5" s="13" t="s">
        <v>108</v>
      </c>
      <c r="C5" s="13" t="s">
        <v>109</v>
      </c>
      <c r="D5" s="13" t="n">
        <v>3</v>
      </c>
      <c r="E5" s="13" t="n">
        <v>2</v>
      </c>
    </row>
    <row r="6" customFormat="false" ht="23.85" hidden="false" customHeight="false" outlineLevel="0" collapsed="false">
      <c r="A6" s="13" t="s">
        <v>14</v>
      </c>
      <c r="B6" s="13" t="s">
        <v>214</v>
      </c>
      <c r="C6" s="13" t="s">
        <v>215</v>
      </c>
      <c r="D6" s="13" t="n">
        <v>3</v>
      </c>
      <c r="E6" s="13" t="n">
        <v>2</v>
      </c>
    </row>
    <row r="7" customFormat="false" ht="23.85" hidden="false" customHeight="false" outlineLevel="0" collapsed="false">
      <c r="A7" s="13" t="s">
        <v>15</v>
      </c>
      <c r="B7" s="13" t="s">
        <v>48</v>
      </c>
      <c r="C7" s="13" t="s">
        <v>49</v>
      </c>
      <c r="D7" s="13" t="n">
        <v>3</v>
      </c>
      <c r="E7" s="13" t="n">
        <v>3</v>
      </c>
    </row>
    <row r="8" customFormat="false" ht="23.85" hidden="false" customHeight="false" outlineLevel="0" collapsed="false">
      <c r="A8" s="13" t="s">
        <v>16</v>
      </c>
      <c r="B8" s="13" t="s">
        <v>246</v>
      </c>
      <c r="C8" s="13" t="s">
        <v>247</v>
      </c>
      <c r="D8" s="13" t="n">
        <v>2</v>
      </c>
      <c r="E8" s="13" t="n">
        <v>2</v>
      </c>
    </row>
    <row r="9" customFormat="false" ht="23.85" hidden="false" customHeight="false" outlineLevel="0" collapsed="false">
      <c r="A9" s="13" t="s">
        <v>17</v>
      </c>
      <c r="B9" s="13" t="s">
        <v>71</v>
      </c>
      <c r="C9" s="13" t="s">
        <v>72</v>
      </c>
      <c r="D9" s="13" t="n">
        <v>3</v>
      </c>
      <c r="E9" s="13" t="n">
        <v>3</v>
      </c>
    </row>
    <row r="10" customFormat="false" ht="23.85" hidden="false" customHeight="false" outlineLevel="0" collapsed="false">
      <c r="A10" s="13" t="s">
        <v>18</v>
      </c>
      <c r="B10" s="13" t="s">
        <v>587</v>
      </c>
      <c r="C10" s="13" t="s">
        <v>588</v>
      </c>
      <c r="D10" s="13" t="n">
        <v>1</v>
      </c>
      <c r="E10" s="13" t="n">
        <v>3</v>
      </c>
    </row>
    <row r="11" customFormat="false" ht="15" hidden="false" customHeight="false" outlineLevel="0" collapsed="false">
      <c r="A11" s="13" t="s">
        <v>19</v>
      </c>
      <c r="B11" s="13" t="s">
        <v>155</v>
      </c>
      <c r="C11" s="13" t="s">
        <v>156</v>
      </c>
      <c r="D11" s="13" t="n">
        <v>2</v>
      </c>
      <c r="E11" s="13" t="n">
        <v>3</v>
      </c>
    </row>
    <row r="12" customFormat="false" ht="15" hidden="false" customHeight="false" outlineLevel="0" collapsed="false">
      <c r="A12" s="13" t="s">
        <v>20</v>
      </c>
      <c r="B12" s="13" t="s">
        <v>560</v>
      </c>
      <c r="C12" s="13" t="s">
        <v>561</v>
      </c>
      <c r="D12" s="13" t="n">
        <v>2</v>
      </c>
      <c r="E12" s="13" t="n">
        <v>2</v>
      </c>
    </row>
    <row r="13" customFormat="false" ht="23.85" hidden="false" customHeight="false" outlineLevel="0" collapsed="false">
      <c r="A13" s="13" t="s">
        <v>21</v>
      </c>
      <c r="B13" s="13" t="s">
        <v>57</v>
      </c>
      <c r="C13" s="13" t="s">
        <v>58</v>
      </c>
      <c r="D13" s="13" t="n">
        <v>3</v>
      </c>
      <c r="E13" s="13" t="n">
        <v>3</v>
      </c>
    </row>
    <row r="14" customFormat="false" ht="23.85" hidden="false" customHeight="false" outlineLevel="0" collapsed="false">
      <c r="A14" s="13" t="s">
        <v>22</v>
      </c>
      <c r="B14" s="13" t="s">
        <v>267</v>
      </c>
      <c r="C14" s="13" t="s">
        <v>268</v>
      </c>
      <c r="D14" s="13" t="n">
        <v>2</v>
      </c>
      <c r="E14" s="13" t="n">
        <v>3</v>
      </c>
    </row>
    <row r="15" customFormat="false" ht="15" hidden="false" customHeight="false" outlineLevel="0" collapsed="false">
      <c r="A15" s="13" t="s">
        <v>23</v>
      </c>
      <c r="B15" s="13" t="s">
        <v>564</v>
      </c>
      <c r="C15" s="13" t="s">
        <v>565</v>
      </c>
      <c r="D15" s="13" t="n">
        <v>2</v>
      </c>
      <c r="E15" s="13" t="n">
        <v>2</v>
      </c>
    </row>
    <row r="16" customFormat="false" ht="23.85" hidden="false" customHeight="false" outlineLevel="0" collapsed="false">
      <c r="A16" s="13" t="s">
        <v>24</v>
      </c>
      <c r="B16" s="13" t="s">
        <v>225</v>
      </c>
      <c r="C16" s="13" t="s">
        <v>226</v>
      </c>
      <c r="D16" s="13" t="n">
        <v>3</v>
      </c>
      <c r="E16" s="13" t="n">
        <v>2</v>
      </c>
    </row>
    <row r="17" customFormat="false" ht="23.85" hidden="false" customHeight="false" outlineLevel="0" collapsed="false">
      <c r="A17" s="13" t="s">
        <v>25</v>
      </c>
      <c r="B17" s="13" t="s">
        <v>75</v>
      </c>
      <c r="C17" s="13" t="s">
        <v>76</v>
      </c>
      <c r="D17" s="13" t="n">
        <v>3</v>
      </c>
      <c r="E17" s="13" t="n">
        <v>3</v>
      </c>
    </row>
    <row r="18" customFormat="false" ht="23.85" hidden="false" customHeight="false" outlineLevel="0" collapsed="false">
      <c r="A18" s="13" t="s">
        <v>26</v>
      </c>
      <c r="B18" s="13" t="s">
        <v>327</v>
      </c>
      <c r="C18" s="13" t="s">
        <v>328</v>
      </c>
      <c r="D18" s="13" t="n">
        <v>3</v>
      </c>
      <c r="E18" s="13" t="n">
        <v>2</v>
      </c>
    </row>
    <row r="19" customFormat="false" ht="23.85" hidden="false" customHeight="false" outlineLevel="0" collapsed="false">
      <c r="A19" s="13" t="s">
        <v>27</v>
      </c>
      <c r="B19" s="13" t="s">
        <v>203</v>
      </c>
      <c r="C19" s="13" t="s">
        <v>204</v>
      </c>
      <c r="D19" s="13" t="n">
        <v>2</v>
      </c>
      <c r="E19" s="13" t="n">
        <v>3</v>
      </c>
    </row>
    <row r="20" customFormat="false" ht="23.85" hidden="false" customHeight="false" outlineLevel="0" collapsed="false">
      <c r="A20" s="13" t="s">
        <v>28</v>
      </c>
      <c r="B20" s="13" t="s">
        <v>66</v>
      </c>
      <c r="C20" s="13" t="s">
        <v>67</v>
      </c>
      <c r="D20" s="13" t="n">
        <v>3</v>
      </c>
      <c r="E20" s="13" t="n">
        <v>3</v>
      </c>
    </row>
    <row r="21" customFormat="false" ht="23.85" hidden="false" customHeight="false" outlineLevel="0" collapsed="false">
      <c r="A21" s="13" t="s">
        <v>29</v>
      </c>
      <c r="B21" s="13" t="s">
        <v>84</v>
      </c>
      <c r="C21" s="13" t="s">
        <v>85</v>
      </c>
      <c r="D21" s="13" t="n">
        <v>3</v>
      </c>
      <c r="E21" s="13" t="n">
        <v>3</v>
      </c>
    </row>
    <row r="22" customFormat="false" ht="23.85" hidden="false" customHeight="false" outlineLevel="0" collapsed="false">
      <c r="A22" s="13" t="s">
        <v>30</v>
      </c>
      <c r="B22" s="13" t="s">
        <v>380</v>
      </c>
      <c r="C22" s="13" t="s">
        <v>381</v>
      </c>
      <c r="D22" s="13" t="n">
        <v>3</v>
      </c>
      <c r="E22" s="13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654</v>
      </c>
    </row>
    <row r="3" customFormat="false" ht="15" hidden="false" customHeight="false" outlineLevel="0" collapsed="false">
      <c r="A3" s="6" t="s">
        <v>655</v>
      </c>
      <c r="B3" s="6" t="s">
        <v>656</v>
      </c>
    </row>
    <row r="4" customFormat="false" ht="23.85" hidden="false" customHeight="false" outlineLevel="0" collapsed="false">
      <c r="A4" s="13" t="s">
        <v>657</v>
      </c>
      <c r="B4" s="13" t="s">
        <v>658</v>
      </c>
    </row>
    <row r="5" customFormat="false" ht="15" hidden="false" customHeight="false" outlineLevel="0" collapsed="false">
      <c r="A5" s="13" t="s">
        <v>659</v>
      </c>
      <c r="B5" s="13" t="s">
        <v>660</v>
      </c>
    </row>
    <row r="6" customFormat="false" ht="15" hidden="false" customHeight="false" outlineLevel="0" collapsed="false">
      <c r="A6" s="13" t="s">
        <v>661</v>
      </c>
      <c r="B6" s="13" t="s">
        <v>662</v>
      </c>
    </row>
    <row r="7" customFormat="false" ht="15" hidden="false" customHeight="false" outlineLevel="0" collapsed="false">
      <c r="A7" s="13" t="s">
        <v>663</v>
      </c>
      <c r="B7" s="13" t="s">
        <v>664</v>
      </c>
    </row>
    <row r="8" customFormat="false" ht="15" hidden="false" customHeight="false" outlineLevel="0" collapsed="false">
      <c r="A8" s="13" t="s">
        <v>665</v>
      </c>
      <c r="B8" s="13" t="s">
        <v>666</v>
      </c>
    </row>
    <row r="9" customFormat="false" ht="15" hidden="false" customHeight="false" outlineLevel="0" collapsed="false">
      <c r="A9" s="13" t="s">
        <v>667</v>
      </c>
      <c r="B9" s="13" t="s">
        <v>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669</v>
      </c>
    </row>
    <row r="3" customFormat="false" ht="45.75" hidden="false" customHeight="true" outlineLevel="0" collapsed="false">
      <c r="A3" s="18" t="s">
        <v>670</v>
      </c>
    </row>
    <row r="4" customFormat="false" ht="45.75" hidden="false" customHeight="true" outlineLevel="0" collapsed="false">
      <c r="A4" s="18" t="s">
        <v>671</v>
      </c>
    </row>
    <row r="5" customFormat="false" ht="45.75" hidden="false" customHeight="true" outlineLevel="0" collapsed="false">
      <c r="A5" s="18" t="s">
        <v>672</v>
      </c>
    </row>
    <row r="6" customFormat="false" ht="45.75" hidden="false" customHeight="true" outlineLevel="0" collapsed="false">
      <c r="A6" s="18" t="s">
        <v>673</v>
      </c>
    </row>
    <row r="7" customFormat="false" ht="45.75" hidden="false" customHeight="true" outlineLevel="0" collapsed="false">
      <c r="A7" s="18" t="s">
        <v>674</v>
      </c>
    </row>
    <row r="8" customFormat="false" ht="45.75" hidden="false" customHeight="true" outlineLevel="0" collapsed="false">
      <c r="A8" s="18" t="s">
        <v>675</v>
      </c>
    </row>
    <row r="9" customFormat="false" ht="45.75" hidden="false" customHeight="true" outlineLevel="0" collapsed="false">
      <c r="A9" s="18" t="s">
        <v>676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2026-10-17T03:56:26Z</dcterms:created>
  <dc:creator>openpyxl</dc:creator>
  <dc:description/>
  <dc:language>en-US</dc:language>
  <cp:lastModifiedBy/>
  <dcterms:modified xsi:type="dcterms:W3CDTF">2026-10-17T03:56:26Z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